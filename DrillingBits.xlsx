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icasmining-my.sharepoint.com/personal/00563634_gmexico_com/Documents/Hugo Castro/Proceso Especialista/Caso de Negocio/VF/"/>
    </mc:Choice>
  </mc:AlternateContent>
  <xr:revisionPtr revIDLastSave="0" documentId="8_{B66DF9D0-F04A-4E8D-8DF7-2C79A0ADA516}" xr6:coauthVersionLast="47" xr6:coauthVersionMax="47" xr10:uidLastSave="{00000000-0000-0000-0000-000000000000}"/>
  <bookViews>
    <workbookView xWindow="28680" yWindow="-120" windowWidth="29040" windowHeight="15720" activeTab="5" xr2:uid="{A03392AB-B520-43E2-AC4C-CC42EA1F7EAA}"/>
  </bookViews>
  <sheets>
    <sheet name="Site 1" sheetId="1" r:id="rId1"/>
    <sheet name="Site 2" sheetId="4" r:id="rId2"/>
    <sheet name="Site 3" sheetId="3" r:id="rId3"/>
    <sheet name="Site 4" sheetId="6" r:id="rId4"/>
    <sheet name="Site 5" sheetId="7" r:id="rId5"/>
    <sheet name="Site 6" sheetId="5" r:id="rId6"/>
  </sheets>
  <definedNames>
    <definedName name="_xlnm._FilterDatabase" localSheetId="2" hidden="1">'Site 3'!$C$1:$C$53</definedName>
    <definedName name="_xlnm._FilterDatabase" localSheetId="3" hidden="1">'Site 4'!$A$4:$M$4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8" i="6" l="1"/>
  <c r="J5" i="6"/>
  <c r="J6" i="6"/>
  <c r="J7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G48" i="6" l="1"/>
  <c r="K48" i="6" s="1"/>
  <c r="G47" i="6"/>
  <c r="K47" i="6" s="1"/>
  <c r="G46" i="6"/>
  <c r="G45" i="6"/>
  <c r="K45" i="6" s="1"/>
  <c r="G44" i="6"/>
  <c r="G43" i="6"/>
  <c r="G42" i="6"/>
  <c r="K42" i="6" s="1"/>
  <c r="G41" i="6"/>
  <c r="G40" i="6"/>
  <c r="G39" i="6"/>
  <c r="K39" i="6" s="1"/>
  <c r="G38" i="6"/>
  <c r="K38" i="6" s="1"/>
  <c r="G37" i="6"/>
  <c r="G36" i="6"/>
  <c r="G35" i="6"/>
  <c r="G34" i="6"/>
  <c r="G33" i="6"/>
  <c r="K33" i="6" s="1"/>
  <c r="G32" i="6"/>
  <c r="K32" i="6" s="1"/>
  <c r="G31" i="6"/>
  <c r="G30" i="6"/>
  <c r="K30" i="6" s="1"/>
  <c r="G29" i="6"/>
  <c r="K29" i="6" s="1"/>
  <c r="G28" i="6"/>
  <c r="G27" i="6"/>
  <c r="K27" i="6" s="1"/>
  <c r="G26" i="6"/>
  <c r="G25" i="6"/>
  <c r="G24" i="6"/>
  <c r="K24" i="6" s="1"/>
  <c r="G23" i="6"/>
  <c r="G22" i="6"/>
  <c r="G21" i="6"/>
  <c r="K21" i="6" s="1"/>
  <c r="G20" i="6"/>
  <c r="G19" i="6"/>
  <c r="G18" i="6"/>
  <c r="K18" i="6" s="1"/>
  <c r="G17" i="6"/>
  <c r="G16" i="6"/>
  <c r="G15" i="6"/>
  <c r="K15" i="6" s="1"/>
  <c r="G14" i="6"/>
  <c r="G13" i="6"/>
  <c r="G12" i="6"/>
  <c r="K12" i="6" s="1"/>
  <c r="G11" i="6"/>
  <c r="G10" i="6"/>
  <c r="G9" i="6"/>
  <c r="K9" i="6" s="1"/>
  <c r="G8" i="6"/>
  <c r="G7" i="6"/>
  <c r="G6" i="6"/>
  <c r="K6" i="6" s="1"/>
  <c r="K36" i="6" l="1"/>
  <c r="K44" i="6"/>
  <c r="K26" i="6"/>
  <c r="K35" i="6"/>
  <c r="K37" i="6"/>
  <c r="K16" i="6"/>
  <c r="K14" i="6"/>
  <c r="K23" i="6"/>
  <c r="K31" i="6"/>
  <c r="K10" i="6"/>
  <c r="K19" i="6"/>
  <c r="K40" i="6"/>
  <c r="K7" i="6"/>
  <c r="K43" i="6"/>
  <c r="K8" i="6"/>
  <c r="K17" i="6"/>
  <c r="K13" i="6"/>
  <c r="K34" i="6"/>
  <c r="K11" i="6"/>
  <c r="K20" i="6"/>
  <c r="K22" i="6"/>
  <c r="K25" i="6"/>
  <c r="K41" i="6"/>
  <c r="K28" i="6"/>
  <c r="K46" i="6"/>
  <c r="G5" i="6"/>
  <c r="K5" i="6" l="1"/>
  <c r="J35" i="4" l="1"/>
  <c r="I35" i="4"/>
  <c r="H35" i="4"/>
  <c r="G35" i="4"/>
  <c r="F35" i="4"/>
  <c r="E35" i="4"/>
  <c r="D35" i="4"/>
  <c r="C35" i="4"/>
  <c r="J34" i="4"/>
  <c r="I34" i="4"/>
  <c r="H34" i="4"/>
  <c r="G34" i="4"/>
  <c r="F34" i="4"/>
  <c r="E34" i="4"/>
  <c r="D34" i="4"/>
  <c r="C34" i="4"/>
  <c r="J30" i="4"/>
  <c r="I30" i="4"/>
  <c r="H30" i="4"/>
  <c r="G30" i="4"/>
  <c r="F30" i="4"/>
  <c r="E30" i="4"/>
  <c r="D30" i="4"/>
  <c r="C30" i="4"/>
  <c r="J24" i="4"/>
  <c r="I24" i="4"/>
  <c r="H24" i="4"/>
  <c r="G24" i="4"/>
  <c r="F24" i="4"/>
  <c r="E24" i="4"/>
  <c r="D24" i="4"/>
  <c r="C24" i="4"/>
  <c r="J23" i="4"/>
  <c r="I23" i="4"/>
  <c r="H23" i="4"/>
  <c r="G23" i="4"/>
  <c r="F23" i="4"/>
  <c r="E23" i="4"/>
  <c r="D23" i="4"/>
  <c r="C23" i="4"/>
  <c r="S22" i="4"/>
  <c r="Q22" i="4"/>
  <c r="P22" i="4"/>
  <c r="O22" i="4"/>
  <c r="S21" i="4"/>
  <c r="R21" i="4"/>
  <c r="Q21" i="4"/>
  <c r="P21" i="4"/>
  <c r="O21" i="4"/>
  <c r="N21" i="4"/>
  <c r="M21" i="4"/>
  <c r="S20" i="4"/>
  <c r="R20" i="4"/>
  <c r="Q20" i="4"/>
  <c r="P20" i="4"/>
  <c r="O20" i="4"/>
  <c r="N20" i="4"/>
  <c r="M20" i="4"/>
  <c r="J19" i="4"/>
  <c r="I19" i="4"/>
  <c r="H19" i="4"/>
  <c r="G19" i="4"/>
  <c r="F19" i="4"/>
  <c r="E19" i="4"/>
  <c r="D19" i="4"/>
  <c r="C19" i="4"/>
  <c r="S18" i="4"/>
  <c r="R18" i="4"/>
  <c r="Q18" i="4"/>
  <c r="P18" i="4"/>
  <c r="O18" i="4"/>
  <c r="N18" i="4"/>
  <c r="M18" i="4"/>
  <c r="S17" i="4"/>
  <c r="R17" i="4"/>
  <c r="Q17" i="4"/>
  <c r="P17" i="4"/>
  <c r="O17" i="4"/>
  <c r="N17" i="4"/>
  <c r="M17" i="4"/>
  <c r="J13" i="4"/>
  <c r="I13" i="4"/>
  <c r="H13" i="4"/>
  <c r="G13" i="4"/>
  <c r="F13" i="4"/>
  <c r="E13" i="4"/>
  <c r="D13" i="4"/>
  <c r="C13" i="4"/>
  <c r="J12" i="4"/>
  <c r="I12" i="4"/>
  <c r="H12" i="4"/>
  <c r="G12" i="4"/>
  <c r="F12" i="4"/>
  <c r="E12" i="4"/>
  <c r="D12" i="4"/>
  <c r="C12" i="4"/>
  <c r="J8" i="4"/>
  <c r="I8" i="4"/>
  <c r="H8" i="4"/>
  <c r="G8" i="4"/>
  <c r="F8" i="4"/>
  <c r="E8" i="4"/>
  <c r="D8" i="4"/>
  <c r="C8" i="4"/>
  <c r="B49" i="1" l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3" i="1"/>
  <c r="B4" i="1"/>
  <c r="B5" i="1"/>
  <c r="B6" i="1"/>
  <c r="B7" i="1"/>
  <c r="B8" i="1"/>
  <c r="B9" i="1"/>
  <c r="B10" i="1"/>
  <c r="B11" i="1"/>
  <c r="B12" i="1"/>
  <c r="B13" i="1"/>
  <c r="B14" i="1"/>
  <c r="B2" i="1"/>
</calcChain>
</file>

<file path=xl/sharedStrings.xml><?xml version="1.0" encoding="utf-8"?>
<sst xmlns="http://schemas.openxmlformats.org/spreadsheetml/2006/main" count="3480" uniqueCount="329">
  <si>
    <t>MINA</t>
  </si>
  <si>
    <t>AÑO</t>
  </si>
  <si>
    <t>MES</t>
  </si>
  <si>
    <t>EQUIPO</t>
  </si>
  <si>
    <t>FECHA DE INGRESO</t>
  </si>
  <si>
    <t>FECHA DE DESCARTE</t>
  </si>
  <si>
    <t>MARCA</t>
  </si>
  <si>
    <t>MEDIDA</t>
  </si>
  <si>
    <t>RECORRIDO (m)</t>
  </si>
  <si>
    <t>RAZÓN DE DESCARTE</t>
  </si>
  <si>
    <t xml:space="preserve">Precio </t>
  </si>
  <si>
    <t>BVC</t>
  </si>
  <si>
    <t>ENERO</t>
  </si>
  <si>
    <t>22-DIC-25</t>
  </si>
  <si>
    <t>2-ENE-26</t>
  </si>
  <si>
    <t>AP DRILLING</t>
  </si>
  <si>
    <t>12 1/4"</t>
  </si>
  <si>
    <t>NATURAL</t>
  </si>
  <si>
    <t>30-DIC-25</t>
  </si>
  <si>
    <t>3-ENE-26</t>
  </si>
  <si>
    <t>AMARRADA</t>
  </si>
  <si>
    <t>29-DIC-25</t>
  </si>
  <si>
    <t>4-ENE-26</t>
  </si>
  <si>
    <t>20-DIC-25</t>
  </si>
  <si>
    <t>5-ENE-26</t>
  </si>
  <si>
    <t xml:space="preserve"> DORADO  </t>
  </si>
  <si>
    <t>27-DIC-25</t>
  </si>
  <si>
    <t>28-DIC-25</t>
  </si>
  <si>
    <t>6-ENE-26</t>
  </si>
  <si>
    <t>16-DIC-25</t>
  </si>
  <si>
    <t>26-DIC-25</t>
  </si>
  <si>
    <t>7-ENE-26</t>
  </si>
  <si>
    <t>8-ENE-26</t>
  </si>
  <si>
    <t>INSERTOS QUEBRADOS</t>
  </si>
  <si>
    <t>9-ENE-26</t>
  </si>
  <si>
    <t>10-ENE-26</t>
  </si>
  <si>
    <t>12-ENE-26</t>
  </si>
  <si>
    <t>24-DIC-25</t>
  </si>
  <si>
    <t>14-ENE-26</t>
  </si>
  <si>
    <t>15-ENE-26</t>
  </si>
  <si>
    <t>16-ENE-26</t>
  </si>
  <si>
    <t>17-ENE-26</t>
  </si>
  <si>
    <t>PIERNA QUEBRADA</t>
  </si>
  <si>
    <t>18-ENE-26</t>
  </si>
  <si>
    <t>19-ENE-26</t>
  </si>
  <si>
    <t>20-ENE-26</t>
  </si>
  <si>
    <t>21-ENE-26</t>
  </si>
  <si>
    <t>22-ENE-26</t>
  </si>
  <si>
    <t>23-ENE-26</t>
  </si>
  <si>
    <t>24-ENE-26</t>
  </si>
  <si>
    <t>25-ENE-26</t>
  </si>
  <si>
    <t>27-ENE-26</t>
  </si>
  <si>
    <t>28-ENE-26</t>
  </si>
  <si>
    <t>29-ENE-26</t>
  </si>
  <si>
    <t>31-ENE-26</t>
  </si>
  <si>
    <t>FEBRERO</t>
  </si>
  <si>
    <t>22-Ene-26</t>
  </si>
  <si>
    <t>MARZO</t>
  </si>
  <si>
    <t>DRILLCO</t>
  </si>
  <si>
    <t>TERELION</t>
  </si>
  <si>
    <t>ABRIL</t>
  </si>
  <si>
    <t>MAYO</t>
  </si>
  <si>
    <t>JUNIO</t>
  </si>
  <si>
    <t>10 5/8"</t>
  </si>
  <si>
    <t>CAT</t>
  </si>
  <si>
    <t>MINCON</t>
  </si>
  <si>
    <t>JULIO</t>
  </si>
  <si>
    <t>MDC</t>
  </si>
  <si>
    <t>Enero</t>
  </si>
  <si>
    <t xml:space="preserve">DESGASTE </t>
  </si>
  <si>
    <t>EPIROC</t>
  </si>
  <si>
    <t>SANDVICK</t>
  </si>
  <si>
    <t>Febrero</t>
  </si>
  <si>
    <t>Marzo</t>
  </si>
  <si>
    <t>DESGASTE PREMATURO FALLA EN COMPRESOR DEL EQUIPO</t>
  </si>
  <si>
    <t>Aabril</t>
  </si>
  <si>
    <t>Mayo</t>
  </si>
  <si>
    <t xml:space="preserve">DESGASTE PREMATURO POR PRESENCIA DE AGUA Y DUREZA </t>
  </si>
  <si>
    <t>Junio</t>
  </si>
  <si>
    <t>Julio</t>
  </si>
  <si>
    <t xml:space="preserve">Acumulado de Brocas 2026 </t>
  </si>
  <si>
    <t xml:space="preserve"> Enero–Julio 2026 </t>
  </si>
  <si>
    <t xml:space="preserve">1. Recorrido Total (m) </t>
  </si>
  <si>
    <t>Diámetro</t>
  </si>
  <si>
    <t>Tipo de Broca</t>
  </si>
  <si>
    <t>Abril</t>
  </si>
  <si>
    <t>Acumulado</t>
  </si>
  <si>
    <t>Subtotal 10 5/8"</t>
  </si>
  <si>
    <t>EP-64 (EPIROC)</t>
  </si>
  <si>
    <t>WLS 645 (WLS)</t>
  </si>
  <si>
    <t>-</t>
  </si>
  <si>
    <t>Subtotal 12 1/4"</t>
  </si>
  <si>
    <t>Total General</t>
  </si>
  <si>
    <t xml:space="preserve">2. Recorrido Promedio (m) </t>
  </si>
  <si>
    <t>Promedio General</t>
  </si>
  <si>
    <t xml:space="preserve">3. Brocas Consumidas </t>
  </si>
  <si>
    <t xml:space="preserve">MINA </t>
  </si>
  <si>
    <t xml:space="preserve">AÑO </t>
  </si>
  <si>
    <t>Mes</t>
  </si>
  <si>
    <t>Equipo</t>
  </si>
  <si>
    <t>Marca</t>
  </si>
  <si>
    <t>Medida</t>
  </si>
  <si>
    <t>Distancia perforada (m)</t>
  </si>
  <si>
    <t>Costo de la broca</t>
  </si>
  <si>
    <t>TOQ</t>
  </si>
  <si>
    <t>DR19</t>
  </si>
  <si>
    <t>2026-02-15 15:08</t>
  </si>
  <si>
    <t>2026-02-17 20:58</t>
  </si>
  <si>
    <t>Conos Descolgados</t>
  </si>
  <si>
    <t>DR12</t>
  </si>
  <si>
    <t>2026-02-17 17:59</t>
  </si>
  <si>
    <t>2026-02-21 04:19</t>
  </si>
  <si>
    <t>Desgaste</t>
  </si>
  <si>
    <t>DR16</t>
  </si>
  <si>
    <t>2026-02-20 20:41</t>
  </si>
  <si>
    <t>2026-02-23 01:00</t>
  </si>
  <si>
    <t>DR21</t>
  </si>
  <si>
    <t>2026-02-21 01:33</t>
  </si>
  <si>
    <t>2026-02-23 06:36</t>
  </si>
  <si>
    <t>DR11</t>
  </si>
  <si>
    <t>2026-02-21 20:28</t>
  </si>
  <si>
    <t>2026-02-26 17:43</t>
  </si>
  <si>
    <t>2026-02-23 18:52</t>
  </si>
  <si>
    <t>2026-02-26 20:24</t>
  </si>
  <si>
    <t>2026-02-23 01:03</t>
  </si>
  <si>
    <t>2026-02-27 04:47</t>
  </si>
  <si>
    <t>2026-02-21 04:20</t>
  </si>
  <si>
    <t>2026-02-28 00:50</t>
  </si>
  <si>
    <t>2026-02-27 04:50</t>
  </si>
  <si>
    <t>2026-03-03 15:59</t>
  </si>
  <si>
    <t>2026-03-05 17:05</t>
  </si>
  <si>
    <t>2026-03-10 14:59</t>
  </si>
  <si>
    <t>DR23</t>
  </si>
  <si>
    <t>2026-03-09 23:35</t>
  </si>
  <si>
    <t>2026-03-11 11:49</t>
  </si>
  <si>
    <t>2026-03-10 15:00</t>
  </si>
  <si>
    <t>2026-03-13 21:02</t>
  </si>
  <si>
    <t>2026-03-16 03:01</t>
  </si>
  <si>
    <t>2026-03-11 06:40</t>
  </si>
  <si>
    <t>2026-03-16 05:32</t>
  </si>
  <si>
    <t>2026-03-13 21:03</t>
  </si>
  <si>
    <t>2026-03-20 00:12</t>
  </si>
  <si>
    <t>2026-03-18 11:33</t>
  </si>
  <si>
    <t>2026-03-23 01:28</t>
  </si>
  <si>
    <t>2026-03-16 03:04</t>
  </si>
  <si>
    <t>2026-03-23 23:34</t>
  </si>
  <si>
    <t>2026-03-20 18:31</t>
  </si>
  <si>
    <t>2026-03-26 01:28</t>
  </si>
  <si>
    <t>2026-03-28 17:31</t>
  </si>
  <si>
    <t>2026-03-31 03:26</t>
  </si>
  <si>
    <t>2026-03-31 03:27</t>
  </si>
  <si>
    <t>2026-04-05 15:39</t>
  </si>
  <si>
    <t>2026-04-03 16:39</t>
  </si>
  <si>
    <t>2026-04-08 18:46</t>
  </si>
  <si>
    <t>2026-03-23 23:35</t>
  </si>
  <si>
    <t>2026-04-10 17:43</t>
  </si>
  <si>
    <t>DR18</t>
  </si>
  <si>
    <t>2026-04-06 12:40</t>
  </si>
  <si>
    <t>2026-04-10 20:22</t>
  </si>
  <si>
    <t>2026-04-08 00:47</t>
  </si>
  <si>
    <t>2026-04-13 06:29</t>
  </si>
  <si>
    <t>2026-04-13 06:31</t>
  </si>
  <si>
    <t>2026-04-15 02:38</t>
  </si>
  <si>
    <t>2026-04-18 23:10</t>
  </si>
  <si>
    <t>2026-04-20 04:08</t>
  </si>
  <si>
    <t>2026-04-21 23:55</t>
  </si>
  <si>
    <t>2026-04-22 00:25</t>
  </si>
  <si>
    <t>2026-04-25 08:29</t>
  </si>
  <si>
    <t>Perdida o Atoro Polines</t>
  </si>
  <si>
    <t>2026-04-25 08:30</t>
  </si>
  <si>
    <t>2026-04-26 20:38</t>
  </si>
  <si>
    <t>Desgaste de labio de Faldon</t>
  </si>
  <si>
    <t>2026-04-25 16:19</t>
  </si>
  <si>
    <t>2026-04-29 17:55</t>
  </si>
  <si>
    <t>2026-04-27 13:48</t>
  </si>
  <si>
    <t>2026-04-30 06:23</t>
  </si>
  <si>
    <t>2026-04-26 01:24</t>
  </si>
  <si>
    <t>2026-04-30 20:14</t>
  </si>
  <si>
    <t>2026-05-01 04:07</t>
  </si>
  <si>
    <t>2026-05-03 20:40</t>
  </si>
  <si>
    <t>2026-04-29 15:08</t>
  </si>
  <si>
    <t>2026-05-06 15:10</t>
  </si>
  <si>
    <t>Perdida Insertos</t>
  </si>
  <si>
    <t>2026-05-03 20:46</t>
  </si>
  <si>
    <t>2026-05-09 09:09</t>
  </si>
  <si>
    <t>2026-05-05 00:54</t>
  </si>
  <si>
    <t>2026-05-09 12:04</t>
  </si>
  <si>
    <t>2026-05-07 10:01</t>
  </si>
  <si>
    <t>2026-05-12 08:08</t>
  </si>
  <si>
    <t>2026-05-08 08:25</t>
  </si>
  <si>
    <t>2026-05-13 04:08</t>
  </si>
  <si>
    <t>2026-05-09 09:10</t>
  </si>
  <si>
    <t>2026-05-13 05:02</t>
  </si>
  <si>
    <t>2026-05-12 04:30</t>
  </si>
  <si>
    <t>2026-05-14 14:03</t>
  </si>
  <si>
    <t>2026-05-15 20:18</t>
  </si>
  <si>
    <t>2026-05-22 00:06</t>
  </si>
  <si>
    <t>2026-05-17 16:32</t>
  </si>
  <si>
    <t>2026-05-24 03:41</t>
  </si>
  <si>
    <t>2026-05-16 10:28</t>
  </si>
  <si>
    <t>2026-05-25 23:37</t>
  </si>
  <si>
    <t>2026-05-25 23:38</t>
  </si>
  <si>
    <t>2026-05-29 23:02</t>
  </si>
  <si>
    <t>2026-06-10 00:21</t>
  </si>
  <si>
    <t>2026-06-16 14:06</t>
  </si>
  <si>
    <t>2026-06-10 00:24</t>
  </si>
  <si>
    <t>2026-06-16 15:47</t>
  </si>
  <si>
    <t>2026-06-15 03:18</t>
  </si>
  <si>
    <t>2026-06-19 17:18</t>
  </si>
  <si>
    <t>DR17</t>
  </si>
  <si>
    <t>2026-06-16 13:33</t>
  </si>
  <si>
    <t>2026-06-20 08:08</t>
  </si>
  <si>
    <t>2026-06-23 20:18</t>
  </si>
  <si>
    <t>2026-06-20 06:04</t>
  </si>
  <si>
    <t>2026-06-25 03:00</t>
  </si>
  <si>
    <t>2026-06-22 14:41</t>
  </si>
  <si>
    <t>2026-06-27 02:21</t>
  </si>
  <si>
    <t>2026-06-23 20:19</t>
  </si>
  <si>
    <t>2026-06-27 18:41</t>
  </si>
  <si>
    <t>RAY DRILL BIT RESULTS - 2026</t>
  </si>
  <si>
    <t>MFG./SIZE</t>
  </si>
  <si>
    <t>Model #</t>
  </si>
  <si>
    <t xml:space="preserve">DRILL </t>
  </si>
  <si>
    <t>DATE ON</t>
  </si>
  <si>
    <t>DATE OFF</t>
  </si>
  <si>
    <t>FEET</t>
  </si>
  <si>
    <t>TIME Min</t>
  </si>
  <si>
    <t>Location</t>
  </si>
  <si>
    <t>Notes</t>
  </si>
  <si>
    <t>RIG RATE</t>
  </si>
  <si>
    <t>ROP Ft/Min</t>
  </si>
  <si>
    <t>Bit Hrs Run</t>
  </si>
  <si>
    <t>ROP Ft/Hr</t>
  </si>
  <si>
    <t>BIT COST</t>
  </si>
  <si>
    <t>Varel - 10-5/8"</t>
  </si>
  <si>
    <t>Removed W/BO Stabilizer</t>
  </si>
  <si>
    <t>Removed W/BO Steel</t>
  </si>
  <si>
    <t>Operator left bit in hole</t>
  </si>
  <si>
    <t>Brand</t>
  </si>
  <si>
    <t>Size</t>
  </si>
  <si>
    <t>Drill</t>
  </si>
  <si>
    <t>Start date</t>
  </si>
  <si>
    <t>End date</t>
  </si>
  <si>
    <t>Depth excavated (ft)</t>
  </si>
  <si>
    <t>Drill bit cost ($)</t>
  </si>
  <si>
    <t>Rig Rate</t>
  </si>
  <si>
    <t>ROP (ft/h)</t>
  </si>
  <si>
    <t xml:space="preserve">Reason for discharge </t>
  </si>
  <si>
    <t>RB53</t>
  </si>
  <si>
    <t>D584</t>
  </si>
  <si>
    <t>T</t>
  </si>
  <si>
    <t>RB67</t>
  </si>
  <si>
    <t>D583</t>
  </si>
  <si>
    <t>A, T</t>
  </si>
  <si>
    <t>CRASHED</t>
  </si>
  <si>
    <t>N</t>
  </si>
  <si>
    <t>D586</t>
  </si>
  <si>
    <t>L, M</t>
  </si>
  <si>
    <t>B</t>
  </si>
  <si>
    <t>A, B</t>
  </si>
  <si>
    <t>S, T</t>
  </si>
  <si>
    <t>L</t>
  </si>
  <si>
    <t>S</t>
  </si>
  <si>
    <t>K</t>
  </si>
  <si>
    <t>K, S</t>
  </si>
  <si>
    <t>R, S</t>
  </si>
  <si>
    <t>J</t>
  </si>
  <si>
    <t>J, R</t>
  </si>
  <si>
    <t>T, R</t>
  </si>
  <si>
    <t>R</t>
  </si>
  <si>
    <t>A</t>
  </si>
  <si>
    <t>D586, D583</t>
  </si>
  <si>
    <t>R, T</t>
  </si>
  <si>
    <t>T, R, Q</t>
  </si>
  <si>
    <t>T, J</t>
  </si>
  <si>
    <t>T, Q</t>
  </si>
  <si>
    <t>D585</t>
  </si>
  <si>
    <t>S, R</t>
  </si>
  <si>
    <t>Q</t>
  </si>
  <si>
    <t>D588</t>
  </si>
  <si>
    <t>AZ</t>
  </si>
  <si>
    <t>Q, S</t>
  </si>
  <si>
    <t>A3, R, A4</t>
  </si>
  <si>
    <t>D586, D585</t>
  </si>
  <si>
    <t>Q, H, J</t>
  </si>
  <si>
    <t>Q, R, S</t>
  </si>
  <si>
    <t>Q, H</t>
  </si>
  <si>
    <t>P</t>
  </si>
  <si>
    <t>A, P</t>
  </si>
  <si>
    <t>G</t>
  </si>
  <si>
    <t>N, P</t>
  </si>
  <si>
    <t>H</t>
  </si>
  <si>
    <t>S, N</t>
  </si>
  <si>
    <t>G, F</t>
  </si>
  <si>
    <t>H, F, G</t>
  </si>
  <si>
    <t>H, R</t>
  </si>
  <si>
    <t>Q, P, R</t>
  </si>
  <si>
    <t>F, G</t>
  </si>
  <si>
    <t>P, M</t>
  </si>
  <si>
    <t>K, L</t>
  </si>
  <si>
    <t>D</t>
  </si>
  <si>
    <t>R, N</t>
  </si>
  <si>
    <t>M, N</t>
  </si>
  <si>
    <t>YEAR</t>
  </si>
  <si>
    <t>MONTH</t>
  </si>
  <si>
    <t>EQUIPMENT</t>
  </si>
  <si>
    <t>START DATE</t>
  </si>
  <si>
    <t>END DATE</t>
  </si>
  <si>
    <t>BRAND</t>
  </si>
  <si>
    <t>DRILL SIZE</t>
  </si>
  <si>
    <t>DEPTH (ft)</t>
  </si>
  <si>
    <t>RIG RATE (USD$/h)</t>
  </si>
  <si>
    <t>Bit cost</t>
  </si>
  <si>
    <t>January</t>
  </si>
  <si>
    <t>February</t>
  </si>
  <si>
    <t>March</t>
  </si>
  <si>
    <t>April</t>
  </si>
  <si>
    <t>May</t>
  </si>
  <si>
    <t>June</t>
  </si>
  <si>
    <t>July</t>
  </si>
  <si>
    <t>Precio</t>
  </si>
  <si>
    <t>SA</t>
  </si>
  <si>
    <t>TL</t>
  </si>
  <si>
    <t>AP</t>
  </si>
  <si>
    <t>DH635 (COR)</t>
  </si>
  <si>
    <t>RB-60 (TER)</t>
  </si>
  <si>
    <t>SGA625R (SA)</t>
  </si>
  <si>
    <t>Cen</t>
  </si>
  <si>
    <t>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</si>
</sst>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4" formatCode="_-&quot;$&quot;* #,##0.00_-;\-&quot;$&quot;* #,##0.00_-;_-&quot;$&quot;* &quot;-&quot;??_-;_-@_-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_(* #,##0.0_);_(* \(#,##0.0\);_(* &quot;-&quot;??_);_(@_)"/>
    <numFmt numFmtId="169" formatCode="_(&quot;$&quot;* #,##0_);_(&quot;$&quot;* \(#,##0\);_(&quot;$&quot;* &quot;-&quot;??_);_(@_)"/>
    <numFmt numFmtId="170" formatCode="[$-409]d\-mmm;@"/>
    <numFmt numFmtId="171" formatCode="[$-10409]#,##0.00;\-#,##0.00"/>
    <numFmt numFmtId="172" formatCode="mm/dd/yy;@"/>
    <numFmt numFmtId="173" formatCode="#,##0.0"/>
    <numFmt numFmtId="174" formatCode="[$-409]d\-mmm\-yy;@"/>
    <numFmt numFmtId="175" formatCode="_(&quot;$&quot;* #,##0.00_);_(&quot;$&quot;* \(#,##0.00\);_(&quot;$&quot;* &quot;-&quot;_);_(@_)"/>
  </numFmts>
  <fonts count="24" x14ac:knownFonts="1">
    <font>
      <sz val="11"/>
      <color theme="1"/>
      <name val="Aptos Narrow"/>
      <family val="2"/>
      <scheme val="minor"/>
    </font>
    <font>
      <sz val="12"/>
      <name val="Arial Narrow"/>
      <family val="2"/>
    </font>
    <font>
      <b/>
      <sz val="12"/>
      <color theme="0"/>
      <name val="Arial Narrow"/>
      <family val="2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9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5"/>
      <color rgb="FF0A2540"/>
      <name val="Arial"/>
      <charset val="1"/>
    </font>
    <font>
      <i/>
      <sz val="10"/>
      <color rgb="FF5A6472"/>
      <name val="Arial"/>
      <charset val="1"/>
    </font>
    <font>
      <b/>
      <sz val="12"/>
      <color rgb="FF0A2540"/>
      <name val="Arial"/>
      <charset val="1"/>
    </font>
    <font>
      <b/>
      <sz val="11"/>
      <color rgb="FFFFFFFF"/>
      <name val="Arial"/>
      <charset val="1"/>
    </font>
    <font>
      <b/>
      <sz val="11"/>
      <color rgb="FF0A2540"/>
      <name val="Arial"/>
      <charset val="1"/>
    </font>
    <font>
      <b/>
      <sz val="11"/>
      <name val="Arial"/>
      <charset val="1"/>
    </font>
    <font>
      <i/>
      <sz val="9"/>
      <color rgb="FF8A94A0"/>
      <name val="Arial"/>
      <charset val="1"/>
    </font>
    <font>
      <sz val="10"/>
      <name val="Arial"/>
    </font>
    <font>
      <b/>
      <sz val="12"/>
      <name val="Aptos Narrow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0"/>
      <name val="Arial Narrow"/>
      <family val="2"/>
    </font>
    <font>
      <sz val="11"/>
      <color rgb="FF0A254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DF1F5"/>
        <bgColor rgb="FFF4F6F8"/>
      </patternFill>
    </fill>
    <fill>
      <patternFill patternType="solid">
        <fgColor rgb="FF0A2540"/>
        <bgColor rgb="FF10243E"/>
      </patternFill>
    </fill>
    <fill>
      <patternFill patternType="solid">
        <fgColor rgb="FFF4F6F8"/>
        <bgColor rgb="FFEDF1F5"/>
      </patternFill>
    </fill>
    <fill>
      <patternFill patternType="solid">
        <fgColor rgb="FFDCE6F0"/>
        <bgColor rgb="FFDCE6F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D9DEE4"/>
      </left>
      <right style="thin">
        <color rgb="FFD9DEE4"/>
      </right>
      <top style="thin">
        <color rgb="FFD9DEE4"/>
      </top>
      <bottom style="thin">
        <color rgb="FFD9DEE4"/>
      </bottom>
      <diagonal/>
    </border>
    <border>
      <left style="thin">
        <color rgb="FFD9DEE4"/>
      </left>
      <right style="thin">
        <color rgb="FFD9DEE4"/>
      </right>
      <top style="thin">
        <color rgb="FFD9DEE4"/>
      </top>
      <bottom/>
      <diagonal/>
    </border>
    <border>
      <left style="thin">
        <color rgb="FFD9DEE4"/>
      </left>
      <right style="thin">
        <color rgb="FFD9DEE4"/>
      </right>
      <top/>
      <bottom/>
      <diagonal/>
    </border>
    <border>
      <left style="thin">
        <color rgb="FFD9DEE4"/>
      </left>
      <right style="thin">
        <color rgb="FFD9DEE4"/>
      </right>
      <top/>
      <bottom style="thin">
        <color rgb="FFD9DEE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DEE4"/>
      </left>
      <right/>
      <top style="thin">
        <color rgb="FFD9DEE4"/>
      </top>
      <bottom style="thin">
        <color rgb="FFD9DEE4"/>
      </bottom>
      <diagonal/>
    </border>
  </borders>
  <cellStyleXfs count="9">
    <xf numFmtId="0" fontId="0" fillId="0" borderId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0" fillId="0" borderId="0"/>
    <xf numFmtId="44" fontId="4" fillId="0" borderId="0" applyFont="0" applyFill="0" applyBorder="0" applyAlignment="0" applyProtection="0"/>
    <xf numFmtId="0" fontId="18" fillId="0" borderId="0"/>
    <xf numFmtId="0" fontId="20" fillId="0" borderId="0"/>
    <xf numFmtId="0" fontId="21" fillId="0" borderId="0"/>
    <xf numFmtId="165" fontId="20" fillId="0" borderId="0" applyFont="0" applyFill="0" applyBorder="0" applyAlignment="0" applyProtection="0"/>
  </cellStyleXfs>
  <cellXfs count="104">
    <xf numFmtId="0" fontId="0" fillId="0" borderId="0" xfId="0"/>
    <xf numFmtId="0" fontId="3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8" fontId="0" fillId="0" borderId="1" xfId="1" applyNumberFormat="1" applyFont="1" applyBorder="1"/>
    <xf numFmtId="169" fontId="3" fillId="0" borderId="1" xfId="2" applyNumberFormat="1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172" fontId="8" fillId="8" borderId="1" xfId="0" applyNumberFormat="1" applyFont="1" applyFill="1" applyBorder="1" applyAlignment="1">
      <alignment horizontal="center" vertical="center"/>
    </xf>
    <xf numFmtId="3" fontId="8" fillId="8" borderId="1" xfId="0" applyNumberFormat="1" applyFont="1" applyFill="1" applyBorder="1" applyAlignment="1">
      <alignment horizontal="center" vertical="center"/>
    </xf>
    <xf numFmtId="164" fontId="8" fillId="9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0" borderId="0" xfId="3"/>
    <xf numFmtId="0" fontId="14" fillId="11" borderId="9" xfId="3" applyFont="1" applyFill="1" applyBorder="1" applyAlignment="1">
      <alignment horizontal="center" vertical="center"/>
    </xf>
    <xf numFmtId="0" fontId="16" fillId="12" borderId="9" xfId="3" applyFont="1" applyFill="1" applyBorder="1" applyAlignment="1">
      <alignment horizontal="left" vertical="center"/>
    </xf>
    <xf numFmtId="3" fontId="10" fillId="12" borderId="9" xfId="3" applyNumberFormat="1" applyFill="1" applyBorder="1" applyAlignment="1">
      <alignment horizontal="center"/>
    </xf>
    <xf numFmtId="3" fontId="16" fillId="12" borderId="9" xfId="3" applyNumberFormat="1" applyFont="1" applyFill="1" applyBorder="1" applyAlignment="1">
      <alignment horizontal="center"/>
    </xf>
    <xf numFmtId="0" fontId="16" fillId="0" borderId="9" xfId="3" applyFont="1" applyBorder="1" applyAlignment="1">
      <alignment horizontal="left" vertical="center"/>
    </xf>
    <xf numFmtId="3" fontId="10" fillId="0" borderId="9" xfId="3" applyNumberFormat="1" applyBorder="1" applyAlignment="1">
      <alignment horizontal="center"/>
    </xf>
    <xf numFmtId="3" fontId="16" fillId="0" borderId="9" xfId="3" applyNumberFormat="1" applyFont="1" applyBorder="1" applyAlignment="1">
      <alignment horizontal="center"/>
    </xf>
    <xf numFmtId="0" fontId="15" fillId="13" borderId="9" xfId="3" applyFont="1" applyFill="1" applyBorder="1"/>
    <xf numFmtId="3" fontId="15" fillId="13" borderId="9" xfId="3" applyNumberFormat="1" applyFont="1" applyFill="1" applyBorder="1" applyAlignment="1">
      <alignment horizontal="center"/>
    </xf>
    <xf numFmtId="0" fontId="10" fillId="11" borderId="9" xfId="3" applyFill="1" applyBorder="1"/>
    <xf numFmtId="0" fontId="14" fillId="11" borderId="9" xfId="3" applyFont="1" applyFill="1" applyBorder="1"/>
    <xf numFmtId="3" fontId="14" fillId="11" borderId="9" xfId="3" applyNumberFormat="1" applyFont="1" applyFill="1" applyBorder="1" applyAlignment="1">
      <alignment horizontal="center"/>
    </xf>
    <xf numFmtId="3" fontId="10" fillId="0" borderId="0" xfId="3" applyNumberFormat="1"/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0" xfId="0" applyFont="1"/>
    <xf numFmtId="0" fontId="1" fillId="14" borderId="1" xfId="0" applyFont="1" applyFill="1" applyBorder="1" applyAlignment="1">
      <alignment horizontal="center"/>
    </xf>
    <xf numFmtId="170" fontId="1" fillId="14" borderId="1" xfId="0" applyNumberFormat="1" applyFont="1" applyFill="1" applyBorder="1" applyAlignment="1">
      <alignment horizontal="center" vertical="center" wrapText="1"/>
    </xf>
    <xf numFmtId="12" fontId="1" fillId="14" borderId="1" xfId="0" applyNumberFormat="1" applyFont="1" applyFill="1" applyBorder="1" applyAlignment="1">
      <alignment horizontal="center"/>
    </xf>
    <xf numFmtId="171" fontId="1" fillId="14" borderId="1" xfId="0" applyNumberFormat="1" applyFont="1" applyFill="1" applyBorder="1" applyAlignment="1">
      <alignment horizontal="center" vertical="center" wrapText="1"/>
    </xf>
    <xf numFmtId="2" fontId="1" fillId="14" borderId="1" xfId="0" applyNumberFormat="1" applyFont="1" applyFill="1" applyBorder="1" applyAlignment="1">
      <alignment horizontal="center" vertical="center" wrapText="1"/>
    </xf>
    <xf numFmtId="167" fontId="1" fillId="14" borderId="1" xfId="0" applyNumberFormat="1" applyFont="1" applyFill="1" applyBorder="1" applyAlignment="1">
      <alignment horizontal="center" vertical="center" wrapText="1"/>
    </xf>
    <xf numFmtId="44" fontId="3" fillId="14" borderId="1" xfId="4" applyFont="1" applyFill="1" applyBorder="1"/>
    <xf numFmtId="0" fontId="8" fillId="3" borderId="0" xfId="5" applyFont="1" applyFill="1"/>
    <xf numFmtId="0" fontId="8" fillId="3" borderId="0" xfId="5" applyFont="1" applyFill="1" applyAlignment="1">
      <alignment horizontal="left" indent="1"/>
    </xf>
    <xf numFmtId="0" fontId="8" fillId="3" borderId="0" xfId="5" applyFont="1" applyFill="1" applyAlignment="1">
      <alignment horizontal="left"/>
    </xf>
    <xf numFmtId="0" fontId="8" fillId="0" borderId="0" xfId="5" applyFont="1"/>
    <xf numFmtId="0" fontId="19" fillId="3" borderId="0" xfId="5" applyFont="1" applyFill="1" applyAlignment="1">
      <alignment horizontal="left" indent="1"/>
    </xf>
    <xf numFmtId="0" fontId="8" fillId="0" borderId="0" xfId="5" applyFont="1" applyAlignment="1">
      <alignment horizontal="left" indent="1"/>
    </xf>
    <xf numFmtId="0" fontId="7" fillId="18" borderId="4" xfId="5" applyFont="1" applyFill="1" applyBorder="1" applyAlignment="1">
      <alignment horizontal="center" wrapText="1"/>
    </xf>
    <xf numFmtId="0" fontId="7" fillId="18" borderId="1" xfId="5" applyFont="1" applyFill="1" applyBorder="1" applyAlignment="1">
      <alignment horizontal="center" wrapText="1"/>
    </xf>
    <xf numFmtId="0" fontId="6" fillId="7" borderId="1" xfId="5" applyFont="1" applyFill="1" applyBorder="1" applyAlignment="1">
      <alignment horizontal="center" wrapText="1"/>
    </xf>
    <xf numFmtId="0" fontId="7" fillId="18" borderId="1" xfId="5" applyFont="1" applyFill="1" applyBorder="1" applyAlignment="1">
      <alignment horizontal="left" wrapText="1"/>
    </xf>
    <xf numFmtId="0" fontId="7" fillId="16" borderId="1" xfId="5" applyFont="1" applyFill="1" applyBorder="1" applyAlignment="1">
      <alignment horizontal="center" wrapText="1"/>
    </xf>
    <xf numFmtId="0" fontId="6" fillId="17" borderId="1" xfId="5" applyFont="1" applyFill="1" applyBorder="1" applyAlignment="1">
      <alignment horizontal="center" wrapText="1"/>
    </xf>
    <xf numFmtId="0" fontId="7" fillId="15" borderId="1" xfId="5" applyFont="1" applyFill="1" applyBorder="1" applyAlignment="1">
      <alignment horizontal="center" wrapText="1"/>
    </xf>
    <xf numFmtId="0" fontId="8" fillId="0" borderId="0" xfId="5" applyFont="1" applyAlignment="1">
      <alignment wrapText="1"/>
    </xf>
    <xf numFmtId="0" fontId="8" fillId="0" borderId="4" xfId="5" applyFont="1" applyBorder="1" applyAlignment="1">
      <alignment horizontal="left" indent="1"/>
    </xf>
    <xf numFmtId="0" fontId="8" fillId="0" borderId="1" xfId="5" applyFont="1" applyBorder="1" applyAlignment="1">
      <alignment horizontal="left" indent="1"/>
    </xf>
    <xf numFmtId="0" fontId="8" fillId="0" borderId="5" xfId="5" applyFont="1" applyBorder="1" applyAlignment="1">
      <alignment horizontal="center"/>
    </xf>
    <xf numFmtId="172" fontId="8" fillId="0" borderId="1" xfId="5" applyNumberFormat="1" applyFont="1" applyBorder="1" applyAlignment="1">
      <alignment horizontal="center"/>
    </xf>
    <xf numFmtId="3" fontId="8" fillId="0" borderId="1" xfId="5" applyNumberFormat="1" applyFont="1" applyBorder="1" applyAlignment="1">
      <alignment horizontal="center"/>
    </xf>
    <xf numFmtId="0" fontId="8" fillId="0" borderId="1" xfId="5" applyFont="1" applyBorder="1" applyAlignment="1">
      <alignment horizontal="left"/>
    </xf>
    <xf numFmtId="164" fontId="8" fillId="8" borderId="1" xfId="5" applyNumberFormat="1" applyFont="1" applyFill="1" applyBorder="1" applyAlignment="1">
      <alignment horizontal="center"/>
    </xf>
    <xf numFmtId="2" fontId="8" fillId="8" borderId="1" xfId="5" applyNumberFormat="1" applyFont="1" applyFill="1" applyBorder="1" applyAlignment="1">
      <alignment horizontal="center"/>
    </xf>
    <xf numFmtId="173" fontId="8" fillId="8" borderId="1" xfId="5" applyNumberFormat="1" applyFont="1" applyFill="1" applyBorder="1" applyAlignment="1">
      <alignment horizontal="center"/>
    </xf>
    <xf numFmtId="0" fontId="9" fillId="0" borderId="1" xfId="5" applyFont="1" applyBorder="1" applyAlignment="1">
      <alignment horizontal="left"/>
    </xf>
    <xf numFmtId="0" fontId="8" fillId="0" borderId="0" xfId="5" applyFont="1" applyAlignment="1">
      <alignment horizontal="left"/>
    </xf>
    <xf numFmtId="0" fontId="22" fillId="8" borderId="13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49" fontId="22" fillId="8" borderId="5" xfId="0" applyNumberFormat="1" applyFont="1" applyFill="1" applyBorder="1" applyAlignment="1">
      <alignment horizontal="center" vertical="center"/>
    </xf>
    <xf numFmtId="174" fontId="22" fillId="8" borderId="1" xfId="0" applyNumberFormat="1" applyFont="1" applyFill="1" applyBorder="1" applyAlignment="1">
      <alignment horizontal="center" vertical="center"/>
    </xf>
    <xf numFmtId="3" fontId="22" fillId="8" borderId="1" xfId="0" applyNumberFormat="1" applyFont="1" applyFill="1" applyBorder="1" applyAlignment="1">
      <alignment horizontal="center" vertical="center"/>
    </xf>
    <xf numFmtId="175" fontId="8" fillId="9" borderId="1" xfId="0" applyNumberFormat="1" applyFont="1" applyFill="1" applyBorder="1" applyAlignment="1">
      <alignment horizontal="center" vertical="center"/>
    </xf>
    <xf numFmtId="2" fontId="22" fillId="8" borderId="1" xfId="0" applyNumberFormat="1" applyFont="1" applyFill="1" applyBorder="1" applyAlignment="1">
      <alignment horizontal="center" vertical="center"/>
    </xf>
    <xf numFmtId="167" fontId="22" fillId="8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49" fontId="22" fillId="8" borderId="8" xfId="0" applyNumberFormat="1" applyFont="1" applyFill="1" applyBorder="1" applyAlignment="1">
      <alignment horizontal="center" vertical="center"/>
    </xf>
    <xf numFmtId="174" fontId="22" fillId="8" borderId="3" xfId="0" applyNumberFormat="1" applyFont="1" applyFill="1" applyBorder="1" applyAlignment="1">
      <alignment horizontal="center" vertical="center"/>
    </xf>
    <xf numFmtId="3" fontId="22" fillId="8" borderId="3" xfId="0" applyNumberFormat="1" applyFont="1" applyFill="1" applyBorder="1" applyAlignment="1">
      <alignment horizontal="center" vertical="center"/>
    </xf>
    <xf numFmtId="2" fontId="22" fillId="8" borderId="3" xfId="0" applyNumberFormat="1" applyFont="1" applyFill="1" applyBorder="1" applyAlignment="1">
      <alignment horizontal="center" vertical="center"/>
    </xf>
    <xf numFmtId="167" fontId="22" fillId="8" borderId="3" xfId="0" applyNumberFormat="1" applyFont="1" applyFill="1" applyBorder="1" applyAlignment="1">
      <alignment horizontal="center" vertical="center"/>
    </xf>
    <xf numFmtId="49" fontId="22" fillId="8" borderId="1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174" fontId="8" fillId="8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0" fillId="5" borderId="1" xfId="0" applyFill="1" applyBorder="1"/>
    <xf numFmtId="0" fontId="3" fillId="0" borderId="0" xfId="0" applyFont="1" applyAlignment="1">
      <alignment vertical="center"/>
    </xf>
    <xf numFmtId="0" fontId="17" fillId="0" borderId="0" xfId="3" applyFont="1"/>
    <xf numFmtId="0" fontId="15" fillId="12" borderId="10" xfId="3" applyFont="1" applyFill="1" applyBorder="1" applyAlignment="1">
      <alignment horizontal="center" vertical="center"/>
    </xf>
    <xf numFmtId="0" fontId="15" fillId="12" borderId="11" xfId="3" applyFont="1" applyFill="1" applyBorder="1" applyAlignment="1">
      <alignment horizontal="center" vertical="center"/>
    </xf>
    <xf numFmtId="0" fontId="15" fillId="12" borderId="12" xfId="3" applyFont="1" applyFill="1" applyBorder="1" applyAlignment="1">
      <alignment horizontal="center" vertical="center"/>
    </xf>
    <xf numFmtId="0" fontId="13" fillId="10" borderId="0" xfId="3" applyFont="1" applyFill="1"/>
    <xf numFmtId="0" fontId="11" fillId="0" borderId="0" xfId="3" applyFont="1"/>
    <xf numFmtId="0" fontId="12" fillId="0" borderId="0" xfId="3" applyFont="1"/>
    <xf numFmtId="3" fontId="16" fillId="12" borderId="14" xfId="3" applyNumberFormat="1" applyFont="1" applyFill="1" applyBorder="1" applyAlignment="1">
      <alignment horizontal="center"/>
    </xf>
    <xf numFmtId="3" fontId="16" fillId="0" borderId="14" xfId="3" applyNumberFormat="1" applyFont="1" applyBorder="1" applyAlignment="1">
      <alignment horizontal="center"/>
    </xf>
    <xf numFmtId="3" fontId="15" fillId="13" borderId="14" xfId="3" applyNumberFormat="1" applyFont="1" applyFill="1" applyBorder="1" applyAlignment="1">
      <alignment horizontal="center"/>
    </xf>
    <xf numFmtId="2" fontId="10" fillId="0" borderId="0" xfId="3" applyNumberFormat="1"/>
    <xf numFmtId="2" fontId="14" fillId="11" borderId="10" xfId="3" applyNumberFormat="1" applyFont="1" applyFill="1" applyBorder="1" applyAlignment="1">
      <alignment horizontal="center" vertical="center"/>
    </xf>
    <xf numFmtId="2" fontId="10" fillId="0" borderId="1" xfId="3" applyNumberFormat="1" applyBorder="1" applyAlignment="1"/>
    <xf numFmtId="3" fontId="23" fillId="13" borderId="9" xfId="3" applyNumberFormat="1" applyFont="1" applyFill="1" applyBorder="1" applyAlignment="1">
      <alignment horizontal="center"/>
    </xf>
  </cellXfs>
  <cellStyles count="9">
    <cellStyle name="Comma" xfId="1" builtinId="3"/>
    <cellStyle name="Currency" xfId="2" builtinId="4"/>
    <cellStyle name="Currency 2" xfId="4" xr:uid="{CEA4305A-2933-444A-9293-B8401823C23F}"/>
    <cellStyle name="Currency 3" xfId="8" xr:uid="{A2DF74D0-0985-4458-9597-0F4DC2B68860}"/>
    <cellStyle name="Normal" xfId="0" builtinId="0"/>
    <cellStyle name="Normal 2" xfId="3" xr:uid="{4238F880-4DFC-491B-B795-D5021065C84B}"/>
    <cellStyle name="Normal 2 2" xfId="6" xr:uid="{ED2F7958-D6B3-404B-A0AC-5EB82A7E49E8}"/>
    <cellStyle name="Normal 3" xfId="5" xr:uid="{412FB694-9B8B-437D-B2A8-9CED4F3BF46E}"/>
    <cellStyle name="Normal 3 2" xfId="7" xr:uid="{8CBCF871-CE70-4103-B5D3-2975EE491337}"/>
  </cellStyles>
  <dxfs count="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9" formatCode="_(&quot;$&quot;* #,##0_);_(&quot;$&quot;* \(#,##0\);_(&quot;$&quot;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8" formatCode="_(* #,##0.0_);_(* \(#,##0.0\);_(* &quot;-&quot;??_);_(@_)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70" formatCode="[$-409]d\-mmm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70" formatCode="[$-409]d\-mmm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71" formatCode="[$-10409]#,##0.00;\-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  <fill>
        <patternFill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7" formatCode="0.0"/>
      <fill>
        <patternFill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2" formatCode="0.00"/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2" formatCode="0.00"/>
      <fill>
        <patternFill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71" formatCode="[$-10409]#,##0.00;\-#,##0.00"/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71" formatCode="[$-10409]#,##0.00;\-#,##0.00"/>
      <fill>
        <patternFill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70" formatCode="[$-409]d\-mmm;@"/>
      <fill>
        <patternFill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70" formatCode="[$-409]d\-mmm;@"/>
      <fill>
        <patternFill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>
          <fgColor indexed="64"/>
          <bgColor theme="3" tint="0.89999084444715716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167" formatCode="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75" formatCode="_(&quot;$&quot;* #,##0.00_);_(&quot;$&quot;* \(#,##0.00\);_(&quot;$&quot;* &quot;-&quot;_);_(@_)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(&quot;$&quot;* #,##0_);_(&quot;$&quot;* \(#,##0\);_(&quot;$&quot;* &quot;-&quot;_);_(@_)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(&quot;$&quot;* #,##0_);_(&quot;$&quot;* \(#,##0\);_(&quot;$&quot;* &quot;-&quot;_);_(@_)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174" formatCode="[$-409]d\-mmm\-yy;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174" formatCode="[$-409]d\-mmm\-yy;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(&quot;$&quot;* #,##0_);_(&quot;$&quot;* \(#,##0\);_(&quot;$&quot;* &quot;-&quot;_);_(@_)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72" formatCode="mm/dd/yy;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72" formatCode="mm/dd/yy;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Table Style 1" pivot="0" count="0" xr9:uid="{654EF248-F3C1-42C6-9245-5F16E6E8A8D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25416D-F4EC-4324-99E9-5239359EACA8}" name="Table2" displayName="Table2" ref="B1:K499" totalsRowShown="0" headerRowDxfId="15" headerRowBorderDxfId="13" tableBorderDxfId="14" totalsRowBorderDxfId="12">
  <tableColumns count="10">
    <tableColumn id="1" xr3:uid="{D016DAC8-5E3D-4EFF-9646-103E24239A92}" name="AÑO" dataDxfId="11"/>
    <tableColumn id="2" xr3:uid="{0DEFC938-5D7F-41C7-B1CA-975E0AA703DB}" name="MES" dataDxfId="10"/>
    <tableColumn id="3" xr3:uid="{6D7341AB-A045-4907-8E9C-F40D5EAFDEF8}" name="EQUIPO" dataDxfId="9"/>
    <tableColumn id="5" xr3:uid="{FC671750-31B8-41E9-BC17-9DB0E709FB92}" name="FECHA DE INGRESO" dataDxfId="8"/>
    <tableColumn id="6" xr3:uid="{110ED4AA-E431-471D-83C1-4346D0E21748}" name="FECHA DE DESCARTE" dataDxfId="7"/>
    <tableColumn id="7" xr3:uid="{7D9D2D29-8082-4094-AB4F-7CE7A621FB26}" name="MARCA" dataDxfId="6"/>
    <tableColumn id="8" xr3:uid="{BA8DB1BC-7153-4AF9-A9DB-F2E650B3D053}" name="MEDIDA" dataDxfId="5"/>
    <tableColumn id="9" xr3:uid="{947CFB65-3D37-48F8-BB31-A191F743A6A6}" name="RECORRIDO (m)" dataDxfId="4" dataCellStyle="Comma"/>
    <tableColumn id="12" xr3:uid="{96321F26-2703-4346-ABA3-5A54CB0B203D}" name="RAZÓN DE DESCARTE" dataDxfId="3"/>
    <tableColumn id="15" xr3:uid="{0BDCA11E-9791-414A-9BB7-BFE1C09CDA16}" name="Precio " dataDxfId="2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80C621-938F-4D6F-9F42-4F10D77CEA91}" name="Table234" displayName="Table234" ref="C1:K53" totalsRowShown="0" headerRowDxfId="80" dataDxfId="78" headerRowBorderDxfId="79" tableBorderDxfId="77">
  <autoFilter ref="C1:K53" xr:uid="{50CC9040-42D2-4A19-9D8F-A7E7F2F1ADA2}"/>
  <tableColumns count="9">
    <tableColumn id="8" xr3:uid="{371593BC-BE3E-42AC-B8CF-B1C884ADC8C0}" name="Mes" dataDxfId="76"/>
    <tableColumn id="4" xr3:uid="{DBC4C2CE-FFCA-42B0-8636-BA1B32B61C82}" name="Equipo" dataDxfId="75"/>
    <tableColumn id="12" xr3:uid="{21C9FC96-EC1E-4DCF-ADA6-DC025FC2FD9F}" name="FECHA DE INGRESO" dataDxfId="74"/>
    <tableColumn id="13" xr3:uid="{073AE8EB-BA3D-4594-A21B-9AF592D309E7}" name="FECHA DE DESCARTE" dataDxfId="73"/>
    <tableColumn id="1" xr3:uid="{89970A66-9192-44B4-A6B0-3975F990D947}" name="Marca" dataDxfId="72"/>
    <tableColumn id="22" xr3:uid="{763D671E-4F1A-40A9-97A6-91A6D3B06851}" name="Medida" dataDxfId="71"/>
    <tableColumn id="7" xr3:uid="{825F5D33-EB75-4DE5-A898-CBCB5C19CB98}" name="Distancia perforada (m)" dataDxfId="70"/>
    <tableColumn id="14" xr3:uid="{021D26DF-C00F-4A7C-AAF0-E1C27CF266E9}" name="RAZÓN DE DESCARTE" dataDxfId="69"/>
    <tableColumn id="23" xr3:uid="{BA587BD3-3841-436C-B80E-D59DA2FCC0E9}" name="Costo de la broca" dataDxfId="6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54C9FA-0EDF-4FDF-86F8-97AEB83C8DD6}" name="Table26" displayName="Table26" ref="B2:L94" headerRowDxfId="67" dataDxfId="65" headerRowBorderDxfId="66" tableBorderDxfId="64">
  <autoFilter ref="B2:L94" xr:uid="{89A9B3E3-F944-438F-9AFC-09A645C871A6}"/>
  <sortState xmlns:xlrd2="http://schemas.microsoft.com/office/spreadsheetml/2017/richdata2" ref="B3:L94">
    <sortCondition descending="1" ref="F2:F94"/>
  </sortState>
  <tableColumns count="11">
    <tableColumn id="1" xr3:uid="{B54EEC56-7917-4B29-965A-6351AB2E828C}" name="Brand" totalsRowLabel="Total" dataDxfId="63" totalsRowDxfId="62"/>
    <tableColumn id="22" xr3:uid="{30443099-51D2-476E-9F01-C928DD68A4D0}" name="Size" dataDxfId="61" totalsRowDxfId="60"/>
    <tableColumn id="2" xr3:uid="{7F44D28F-DA40-4A13-8F38-4A822FA11404}" name="Model #" dataDxfId="59" totalsRowDxfId="58"/>
    <tableColumn id="4" xr3:uid="{749AD6D0-D64D-4F4E-BE24-226C7F0C2ED1}" name="Drill" dataDxfId="57" totalsRowDxfId="56"/>
    <tableColumn id="5" xr3:uid="{0A58239F-FF22-4404-835E-E91D3A07118A}" name="Start date" dataDxfId="55" totalsRowDxfId="54"/>
    <tableColumn id="6" xr3:uid="{6C2C9631-B1B0-4845-810B-3405274CD549}" name="End date" dataDxfId="53" totalsRowDxfId="52"/>
    <tableColumn id="7" xr3:uid="{2FFE636B-C7D1-471D-8F35-5F745038A4BF}" name="Depth excavated (ft)" totalsRowFunction="average" dataDxfId="51" totalsRowDxfId="50"/>
    <tableColumn id="23" xr3:uid="{BD874D33-82CB-443C-94C1-197578DBC227}" name="Drill bit cost ($)" totalsRowFunction="average" dataDxfId="49" totalsRowDxfId="48"/>
    <tableColumn id="24" xr3:uid="{9ACC63A4-419B-4C48-9E1A-7E30C1F6246A}" name="Rig Rate" dataDxfId="47" totalsRowDxfId="46">
      <calculatedColumnFormula>Table26[[#This Row],[Drill bit cost ($)]]/Table26[[#This Row],[Depth excavated (ft)]]</calculatedColumnFormula>
    </tableColumn>
    <tableColumn id="10" xr3:uid="{C4709E97-381E-4DB3-911B-CA4D38FCB8CC}" name="Location" dataDxfId="45" totalsRowDxfId="44"/>
    <tableColumn id="11" xr3:uid="{6DA93FD4-9B75-4B42-A91E-56E45A234377}" name="Reason for discharge " dataDxfId="43" totalsRowDxfId="4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BA0396-B516-4D40-B000-00F366411853}" name="Table15" displayName="Table15" ref="B2:L26" headerRowDxfId="41" dataDxfId="39" headerRowBorderDxfId="40" tableBorderDxfId="38">
  <autoFilter ref="B2:L26" xr:uid="{10BA0396-B516-4D40-B000-00F366411853}"/>
  <tableColumns count="11">
    <tableColumn id="1" xr3:uid="{003A6A19-8977-4B7E-8656-76E3E1AB5C60}" name="YEAR" totalsRowLabel="Total" dataDxfId="37" totalsRowDxfId="36"/>
    <tableColumn id="2" xr3:uid="{507790A1-B8B2-42C2-97DB-18F913911C4C}" name="MONTH" dataDxfId="35" totalsRowDxfId="34"/>
    <tableColumn id="3" xr3:uid="{75048F49-C7A4-4F1B-8ECB-7C382EFB221F}" name="EQUIPMENT" dataDxfId="33" totalsRowDxfId="32"/>
    <tableColumn id="5" xr3:uid="{1D767E26-E985-4663-A593-C340F5B762A4}" name="START DATE" dataDxfId="31" totalsRowDxfId="30"/>
    <tableColumn id="6" xr3:uid="{F90457C5-7A5F-45D8-A438-5F32F30DA1E5}" name="END DATE" dataDxfId="29" totalsRowDxfId="28"/>
    <tableColumn id="7" xr3:uid="{C9D00FFE-0FAF-43E2-881E-1A32A62CF5F1}" name="BRAND" dataDxfId="27" totalsRowDxfId="26"/>
    <tableColumn id="8" xr3:uid="{C9B0863A-28DF-4E2E-A62E-F1535E13B02C}" name="DRILL SIZE" dataDxfId="25" totalsRowDxfId="24"/>
    <tableColumn id="9" xr3:uid="{5A2366B1-1C11-4DAD-80E7-69B7DBF3E11F}" name="DEPTH (ft)" totalsRowFunction="average" dataDxfId="23" totalsRowDxfId="22"/>
    <tableColumn id="10" xr3:uid="{4C1BEB2D-1CC3-4660-A1EF-8520290C1FAF}" name="ROP (ft/h)" totalsRowFunction="average" dataDxfId="21" totalsRowDxfId="20"/>
    <tableColumn id="11" xr3:uid="{69D000AB-6A16-4B20-8A88-B77B7A390EC8}" name="RIG RATE (USD$/h)" dataDxfId="19" totalsRowDxfId="18"/>
    <tableColumn id="12" xr3:uid="{9C247530-4B53-48ED-A743-6C050781CE36}" name="Bit cost" totalsRowFunction="average" dataDxfId="17" totalsRowDxfId="16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8288D-D0EA-41B9-AE74-A3F514561494}">
  <dimension ref="A1:O519"/>
  <sheetViews>
    <sheetView zoomScale="95" workbookViewId="0">
      <selection activeCell="E1" sqref="E1:E1048576"/>
    </sheetView>
  </sheetViews>
  <sheetFormatPr defaultColWidth="12.453125" defaultRowHeight="16" x14ac:dyDescent="0.35"/>
  <cols>
    <col min="1" max="1" width="12.453125" style="89"/>
    <col min="2" max="3" width="6.90625" style="1" customWidth="1"/>
    <col min="4" max="4" width="10" style="1" customWidth="1"/>
    <col min="5" max="5" width="25" style="1" bestFit="1" customWidth="1"/>
    <col min="6" max="6" width="22.6328125" style="1" customWidth="1"/>
    <col min="7" max="7" width="20.08984375" style="1" bestFit="1" customWidth="1"/>
    <col min="8" max="8" width="18" style="1" bestFit="1" customWidth="1"/>
    <col min="9" max="9" width="17.36328125" style="1" customWidth="1"/>
    <col min="10" max="10" width="23.54296875" style="1" bestFit="1" customWidth="1"/>
    <col min="11" max="11" width="21.90625" style="1" customWidth="1"/>
    <col min="12" max="13" width="12.453125" style="1"/>
    <col min="14" max="14" width="16.08984375" style="1" bestFit="1" customWidth="1"/>
    <col min="15" max="16384" width="12.453125" style="1"/>
  </cols>
  <sheetData>
    <row r="1" spans="1:15" x14ac:dyDescent="0.35">
      <c r="A1" s="87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N1"/>
      <c r="O1"/>
    </row>
    <row r="2" spans="1:15" x14ac:dyDescent="0.35">
      <c r="A2" s="88" t="s">
        <v>11</v>
      </c>
      <c r="B2" s="7">
        <f>2026</f>
        <v>2026</v>
      </c>
      <c r="C2" s="7" t="s">
        <v>12</v>
      </c>
      <c r="D2" s="7">
        <v>41</v>
      </c>
      <c r="E2" s="7" t="s">
        <v>13</v>
      </c>
      <c r="F2" s="7" t="s">
        <v>14</v>
      </c>
      <c r="G2" s="8" t="s">
        <v>323</v>
      </c>
      <c r="H2" s="6" t="s">
        <v>16</v>
      </c>
      <c r="I2" s="9">
        <v>4212.22</v>
      </c>
      <c r="J2" s="5" t="s">
        <v>17</v>
      </c>
      <c r="K2" s="10">
        <v>4390</v>
      </c>
      <c r="N2"/>
      <c r="O2"/>
    </row>
    <row r="3" spans="1:15" x14ac:dyDescent="0.35">
      <c r="A3" s="7" t="s">
        <v>11</v>
      </c>
      <c r="B3" s="7">
        <f>2026</f>
        <v>2026</v>
      </c>
      <c r="C3" s="7" t="s">
        <v>12</v>
      </c>
      <c r="D3" s="7">
        <v>49</v>
      </c>
      <c r="E3" s="7" t="s">
        <v>18</v>
      </c>
      <c r="F3" s="7" t="s">
        <v>19</v>
      </c>
      <c r="G3" s="8" t="s">
        <v>323</v>
      </c>
      <c r="H3" s="2" t="s">
        <v>16</v>
      </c>
      <c r="I3" s="9">
        <v>1103.69</v>
      </c>
      <c r="J3" s="5" t="s">
        <v>20</v>
      </c>
      <c r="K3" s="10">
        <v>4390</v>
      </c>
      <c r="N3"/>
      <c r="O3"/>
    </row>
    <row r="4" spans="1:15" x14ac:dyDescent="0.35">
      <c r="A4" s="88" t="s">
        <v>11</v>
      </c>
      <c r="B4" s="7">
        <f>2026</f>
        <v>2026</v>
      </c>
      <c r="C4" s="7" t="s">
        <v>12</v>
      </c>
      <c r="D4" s="7">
        <v>40</v>
      </c>
      <c r="E4" s="7" t="s">
        <v>21</v>
      </c>
      <c r="F4" s="7" t="s">
        <v>22</v>
      </c>
      <c r="G4" s="8" t="s">
        <v>323</v>
      </c>
      <c r="H4" s="6" t="s">
        <v>16</v>
      </c>
      <c r="I4" s="9">
        <v>783.36</v>
      </c>
      <c r="J4" s="5" t="s">
        <v>20</v>
      </c>
      <c r="K4" s="10">
        <v>4390</v>
      </c>
      <c r="N4"/>
      <c r="O4"/>
    </row>
    <row r="5" spans="1:15" x14ac:dyDescent="0.35">
      <c r="A5" s="7" t="s">
        <v>11</v>
      </c>
      <c r="B5" s="7">
        <f>2026</f>
        <v>2026</v>
      </c>
      <c r="C5" s="7" t="s">
        <v>12</v>
      </c>
      <c r="D5" s="7">
        <v>45</v>
      </c>
      <c r="E5" s="7" t="s">
        <v>23</v>
      </c>
      <c r="F5" s="7" t="s">
        <v>24</v>
      </c>
      <c r="G5" s="8" t="s">
        <v>25</v>
      </c>
      <c r="H5" s="2" t="s">
        <v>16</v>
      </c>
      <c r="I5" s="9">
        <v>7126.76</v>
      </c>
      <c r="J5" s="5" t="s">
        <v>17</v>
      </c>
      <c r="K5" s="10">
        <v>3990</v>
      </c>
      <c r="N5"/>
      <c r="O5"/>
    </row>
    <row r="6" spans="1:15" x14ac:dyDescent="0.35">
      <c r="A6" s="88" t="s">
        <v>11</v>
      </c>
      <c r="B6" s="7">
        <f>2026</f>
        <v>2026</v>
      </c>
      <c r="C6" s="7" t="s">
        <v>12</v>
      </c>
      <c r="D6" s="7">
        <v>46</v>
      </c>
      <c r="E6" s="7" t="s">
        <v>26</v>
      </c>
      <c r="F6" s="7" t="s">
        <v>24</v>
      </c>
      <c r="G6" s="8" t="s">
        <v>323</v>
      </c>
      <c r="H6" s="6" t="s">
        <v>16</v>
      </c>
      <c r="I6" s="9">
        <v>5067.2700000000004</v>
      </c>
      <c r="J6" s="5" t="s">
        <v>17</v>
      </c>
      <c r="K6" s="10">
        <v>4390</v>
      </c>
      <c r="N6"/>
      <c r="O6"/>
    </row>
    <row r="7" spans="1:15" x14ac:dyDescent="0.35">
      <c r="A7" s="7" t="s">
        <v>11</v>
      </c>
      <c r="B7" s="7">
        <f>2026</f>
        <v>2026</v>
      </c>
      <c r="C7" s="7" t="s">
        <v>12</v>
      </c>
      <c r="D7" s="7">
        <v>47</v>
      </c>
      <c r="E7" s="7" t="s">
        <v>27</v>
      </c>
      <c r="F7" s="7" t="s">
        <v>24</v>
      </c>
      <c r="G7" s="8" t="s">
        <v>323</v>
      </c>
      <c r="H7" s="2" t="s">
        <v>16</v>
      </c>
      <c r="I7" s="9">
        <v>3458.09</v>
      </c>
      <c r="J7" s="5" t="s">
        <v>17</v>
      </c>
      <c r="K7" s="10">
        <v>4390</v>
      </c>
      <c r="N7"/>
      <c r="O7"/>
    </row>
    <row r="8" spans="1:15" x14ac:dyDescent="0.35">
      <c r="A8" s="88" t="s">
        <v>11</v>
      </c>
      <c r="B8" s="7">
        <f>2026</f>
        <v>2026</v>
      </c>
      <c r="C8" s="7" t="s">
        <v>12</v>
      </c>
      <c r="D8" s="7">
        <v>44</v>
      </c>
      <c r="E8" s="7" t="s">
        <v>18</v>
      </c>
      <c r="F8" s="7" t="s">
        <v>28</v>
      </c>
      <c r="G8" s="8" t="s">
        <v>25</v>
      </c>
      <c r="H8" s="6" t="s">
        <v>16</v>
      </c>
      <c r="I8" s="9">
        <v>3201.65</v>
      </c>
      <c r="J8" s="5" t="s">
        <v>20</v>
      </c>
      <c r="K8" s="10">
        <v>3990</v>
      </c>
      <c r="N8"/>
      <c r="O8"/>
    </row>
    <row r="9" spans="1:15" x14ac:dyDescent="0.35">
      <c r="A9" s="7" t="s">
        <v>11</v>
      </c>
      <c r="B9" s="7">
        <f>2026</f>
        <v>2026</v>
      </c>
      <c r="C9" s="7" t="s">
        <v>12</v>
      </c>
      <c r="D9" s="7">
        <v>54</v>
      </c>
      <c r="E9" s="7" t="s">
        <v>26</v>
      </c>
      <c r="F9" s="7" t="s">
        <v>28</v>
      </c>
      <c r="G9" s="8" t="s">
        <v>323</v>
      </c>
      <c r="H9" s="2" t="s">
        <v>16</v>
      </c>
      <c r="I9" s="9">
        <v>5780.36</v>
      </c>
      <c r="J9" s="5" t="s">
        <v>17</v>
      </c>
      <c r="K9" s="10">
        <v>4390</v>
      </c>
      <c r="N9"/>
      <c r="O9"/>
    </row>
    <row r="10" spans="1:15" x14ac:dyDescent="0.35">
      <c r="A10" s="88" t="s">
        <v>11</v>
      </c>
      <c r="B10" s="7">
        <f>2026</f>
        <v>2026</v>
      </c>
      <c r="C10" s="7" t="s">
        <v>12</v>
      </c>
      <c r="D10" s="7">
        <v>50</v>
      </c>
      <c r="E10" s="7" t="s">
        <v>29</v>
      </c>
      <c r="F10" s="7" t="s">
        <v>28</v>
      </c>
      <c r="G10" s="8" t="s">
        <v>25</v>
      </c>
      <c r="H10" s="6" t="s">
        <v>16</v>
      </c>
      <c r="I10" s="9">
        <v>13274.78</v>
      </c>
      <c r="J10" s="5" t="s">
        <v>17</v>
      </c>
      <c r="K10" s="10">
        <v>3990</v>
      </c>
      <c r="N10"/>
      <c r="O10"/>
    </row>
    <row r="11" spans="1:15" x14ac:dyDescent="0.35">
      <c r="A11" s="7" t="s">
        <v>11</v>
      </c>
      <c r="B11" s="7">
        <f>2026</f>
        <v>2026</v>
      </c>
      <c r="C11" s="7" t="s">
        <v>12</v>
      </c>
      <c r="D11" s="7">
        <v>48</v>
      </c>
      <c r="E11" s="7" t="s">
        <v>30</v>
      </c>
      <c r="F11" s="7" t="s">
        <v>31</v>
      </c>
      <c r="G11" s="8" t="s">
        <v>323</v>
      </c>
      <c r="H11" s="2" t="s">
        <v>16</v>
      </c>
      <c r="I11" s="9">
        <v>5811.1</v>
      </c>
      <c r="J11" s="5" t="s">
        <v>17</v>
      </c>
      <c r="K11" s="10">
        <v>4390</v>
      </c>
      <c r="N11"/>
      <c r="O11"/>
    </row>
    <row r="12" spans="1:15" x14ac:dyDescent="0.35">
      <c r="A12" s="88" t="s">
        <v>11</v>
      </c>
      <c r="B12" s="7">
        <f>2026</f>
        <v>2026</v>
      </c>
      <c r="C12" s="7" t="s">
        <v>12</v>
      </c>
      <c r="D12" s="7">
        <v>40</v>
      </c>
      <c r="E12" s="7" t="s">
        <v>22</v>
      </c>
      <c r="F12" s="7" t="s">
        <v>32</v>
      </c>
      <c r="G12" s="8" t="s">
        <v>323</v>
      </c>
      <c r="H12" s="6" t="s">
        <v>16</v>
      </c>
      <c r="I12" s="9">
        <v>1037.56</v>
      </c>
      <c r="J12" s="5" t="s">
        <v>33</v>
      </c>
      <c r="K12" s="10">
        <v>4390</v>
      </c>
      <c r="N12"/>
      <c r="O12"/>
    </row>
    <row r="13" spans="1:15" x14ac:dyDescent="0.35">
      <c r="A13" s="7" t="s">
        <v>11</v>
      </c>
      <c r="B13" s="7">
        <f>2026</f>
        <v>2026</v>
      </c>
      <c r="C13" s="7" t="s">
        <v>12</v>
      </c>
      <c r="D13" s="7">
        <v>49</v>
      </c>
      <c r="E13" s="7" t="s">
        <v>19</v>
      </c>
      <c r="F13" s="7" t="s">
        <v>34</v>
      </c>
      <c r="G13" s="8" t="s">
        <v>323</v>
      </c>
      <c r="H13" s="2" t="s">
        <v>16</v>
      </c>
      <c r="I13" s="9">
        <v>3498.31</v>
      </c>
      <c r="J13" s="5" t="s">
        <v>17</v>
      </c>
      <c r="K13" s="10">
        <v>4390</v>
      </c>
      <c r="N13"/>
      <c r="O13"/>
    </row>
    <row r="14" spans="1:15" x14ac:dyDescent="0.35">
      <c r="A14" s="88" t="s">
        <v>11</v>
      </c>
      <c r="B14" s="7">
        <f>2026</f>
        <v>2026</v>
      </c>
      <c r="C14" s="7" t="s">
        <v>12</v>
      </c>
      <c r="D14" s="7">
        <v>40</v>
      </c>
      <c r="E14" s="7" t="s">
        <v>32</v>
      </c>
      <c r="F14" s="7" t="s">
        <v>35</v>
      </c>
      <c r="G14" s="8" t="s">
        <v>323</v>
      </c>
      <c r="H14" s="6" t="s">
        <v>16</v>
      </c>
      <c r="I14" s="9">
        <v>546.20000000000005</v>
      </c>
      <c r="J14" s="5" t="s">
        <v>20</v>
      </c>
      <c r="K14" s="10">
        <v>4390</v>
      </c>
      <c r="N14"/>
      <c r="O14"/>
    </row>
    <row r="15" spans="1:15" x14ac:dyDescent="0.35">
      <c r="A15" s="7" t="s">
        <v>11</v>
      </c>
      <c r="B15" s="7">
        <f>2026</f>
        <v>2026</v>
      </c>
      <c r="C15" s="7" t="s">
        <v>12</v>
      </c>
      <c r="D15" s="7">
        <v>55</v>
      </c>
      <c r="E15" s="7" t="s">
        <v>26</v>
      </c>
      <c r="F15" s="7" t="s">
        <v>36</v>
      </c>
      <c r="G15" s="8" t="s">
        <v>323</v>
      </c>
      <c r="H15" s="2" t="s">
        <v>16</v>
      </c>
      <c r="I15" s="9">
        <v>8889</v>
      </c>
      <c r="J15" s="5" t="s">
        <v>17</v>
      </c>
      <c r="K15" s="10">
        <v>4390</v>
      </c>
      <c r="N15"/>
      <c r="O15"/>
    </row>
    <row r="16" spans="1:15" x14ac:dyDescent="0.35">
      <c r="A16" s="88" t="s">
        <v>11</v>
      </c>
      <c r="B16" s="7">
        <f>2026</f>
        <v>2026</v>
      </c>
      <c r="C16" s="7" t="s">
        <v>12</v>
      </c>
      <c r="D16" s="7">
        <v>37</v>
      </c>
      <c r="E16" s="7" t="s">
        <v>37</v>
      </c>
      <c r="F16" s="7" t="s">
        <v>36</v>
      </c>
      <c r="G16" s="8" t="s">
        <v>323</v>
      </c>
      <c r="H16" s="6" t="s">
        <v>16</v>
      </c>
      <c r="I16" s="9">
        <v>5999</v>
      </c>
      <c r="J16" s="5" t="s">
        <v>17</v>
      </c>
      <c r="K16" s="10">
        <v>4390</v>
      </c>
      <c r="N16"/>
      <c r="O16"/>
    </row>
    <row r="17" spans="1:15" x14ac:dyDescent="0.35">
      <c r="A17" s="7" t="s">
        <v>11</v>
      </c>
      <c r="B17" s="7">
        <f>2026</f>
        <v>2026</v>
      </c>
      <c r="C17" s="7" t="s">
        <v>12</v>
      </c>
      <c r="D17" s="7">
        <v>36</v>
      </c>
      <c r="E17" s="7" t="s">
        <v>18</v>
      </c>
      <c r="F17" s="7" t="s">
        <v>38</v>
      </c>
      <c r="G17" s="8" t="s">
        <v>323</v>
      </c>
      <c r="H17" s="2" t="s">
        <v>16</v>
      </c>
      <c r="I17" s="9">
        <v>2551.38</v>
      </c>
      <c r="J17" s="5" t="s">
        <v>20</v>
      </c>
      <c r="K17" s="10">
        <v>4390</v>
      </c>
      <c r="N17"/>
      <c r="O17"/>
    </row>
    <row r="18" spans="1:15" x14ac:dyDescent="0.35">
      <c r="A18" s="88" t="s">
        <v>11</v>
      </c>
      <c r="B18" s="7">
        <f>2026</f>
        <v>2026</v>
      </c>
      <c r="C18" s="7" t="s">
        <v>12</v>
      </c>
      <c r="D18" s="7">
        <v>40</v>
      </c>
      <c r="E18" s="7" t="s">
        <v>35</v>
      </c>
      <c r="F18" s="7" t="s">
        <v>38</v>
      </c>
      <c r="G18" s="8" t="s">
        <v>323</v>
      </c>
      <c r="H18" s="6" t="s">
        <v>16</v>
      </c>
      <c r="I18" s="9">
        <v>1551.23</v>
      </c>
      <c r="J18" s="5" t="s">
        <v>20</v>
      </c>
      <c r="K18" s="10">
        <v>4390</v>
      </c>
      <c r="N18"/>
      <c r="O18"/>
    </row>
    <row r="19" spans="1:15" x14ac:dyDescent="0.35">
      <c r="A19" s="7" t="s">
        <v>11</v>
      </c>
      <c r="B19" s="7">
        <f>2026</f>
        <v>2026</v>
      </c>
      <c r="C19" s="7" t="s">
        <v>12</v>
      </c>
      <c r="D19" s="7">
        <v>47</v>
      </c>
      <c r="E19" s="7" t="s">
        <v>24</v>
      </c>
      <c r="F19" s="7" t="s">
        <v>39</v>
      </c>
      <c r="G19" s="8" t="s">
        <v>323</v>
      </c>
      <c r="H19" s="2" t="s">
        <v>16</v>
      </c>
      <c r="I19" s="9">
        <v>3438.94</v>
      </c>
      <c r="J19" s="5" t="s">
        <v>17</v>
      </c>
      <c r="K19" s="10">
        <v>4390</v>
      </c>
      <c r="N19"/>
      <c r="O19"/>
    </row>
    <row r="20" spans="1:15" x14ac:dyDescent="0.35">
      <c r="A20" s="88" t="s">
        <v>11</v>
      </c>
      <c r="B20" s="7">
        <f>2026</f>
        <v>2026</v>
      </c>
      <c r="C20" s="7" t="s">
        <v>12</v>
      </c>
      <c r="D20" s="7">
        <v>44</v>
      </c>
      <c r="E20" s="7" t="s">
        <v>28</v>
      </c>
      <c r="F20" s="7" t="s">
        <v>39</v>
      </c>
      <c r="G20" s="8" t="s">
        <v>323</v>
      </c>
      <c r="H20" s="6" t="s">
        <v>16</v>
      </c>
      <c r="I20" s="9">
        <v>3637.34</v>
      </c>
      <c r="J20" s="5" t="s">
        <v>17</v>
      </c>
      <c r="K20" s="10">
        <v>4390</v>
      </c>
      <c r="N20"/>
      <c r="O20"/>
    </row>
    <row r="21" spans="1:15" x14ac:dyDescent="0.35">
      <c r="A21" s="7" t="s">
        <v>11</v>
      </c>
      <c r="B21" s="7">
        <f>2026</f>
        <v>2026</v>
      </c>
      <c r="C21" s="7" t="s">
        <v>12</v>
      </c>
      <c r="D21" s="7">
        <v>49</v>
      </c>
      <c r="E21" s="7" t="s">
        <v>34</v>
      </c>
      <c r="F21" s="7" t="s">
        <v>40</v>
      </c>
      <c r="G21" s="8" t="s">
        <v>323</v>
      </c>
      <c r="H21" s="2" t="s">
        <v>16</v>
      </c>
      <c r="I21" s="9">
        <v>1688.24</v>
      </c>
      <c r="J21" s="5" t="s">
        <v>33</v>
      </c>
      <c r="K21" s="10">
        <v>4390</v>
      </c>
      <c r="N21"/>
      <c r="O21"/>
    </row>
    <row r="22" spans="1:15" x14ac:dyDescent="0.35">
      <c r="A22" s="88" t="s">
        <v>11</v>
      </c>
      <c r="B22" s="7">
        <f>2026</f>
        <v>2026</v>
      </c>
      <c r="C22" s="7" t="s">
        <v>12</v>
      </c>
      <c r="D22" s="7">
        <v>37</v>
      </c>
      <c r="E22" s="7" t="s">
        <v>36</v>
      </c>
      <c r="F22" s="7" t="s">
        <v>41</v>
      </c>
      <c r="G22" s="8" t="s">
        <v>323</v>
      </c>
      <c r="H22" s="6" t="s">
        <v>16</v>
      </c>
      <c r="I22" s="9">
        <v>1612</v>
      </c>
      <c r="J22" s="5" t="s">
        <v>42</v>
      </c>
      <c r="K22" s="10">
        <v>4390</v>
      </c>
      <c r="N22"/>
      <c r="O22"/>
    </row>
    <row r="23" spans="1:15" x14ac:dyDescent="0.35">
      <c r="A23" s="7" t="s">
        <v>11</v>
      </c>
      <c r="B23" s="7">
        <f>2026</f>
        <v>2026</v>
      </c>
      <c r="C23" s="7" t="s">
        <v>12</v>
      </c>
      <c r="D23" s="7">
        <v>40</v>
      </c>
      <c r="E23" s="7" t="s">
        <v>38</v>
      </c>
      <c r="F23" s="7" t="s">
        <v>41</v>
      </c>
      <c r="G23" s="8" t="s">
        <v>323</v>
      </c>
      <c r="H23" s="2" t="s">
        <v>16</v>
      </c>
      <c r="I23" s="9">
        <v>1408.35</v>
      </c>
      <c r="J23" s="5" t="s">
        <v>20</v>
      </c>
      <c r="K23" s="10">
        <v>4390</v>
      </c>
      <c r="N23"/>
      <c r="O23"/>
    </row>
    <row r="24" spans="1:15" x14ac:dyDescent="0.35">
      <c r="A24" s="88" t="s">
        <v>11</v>
      </c>
      <c r="B24" s="7">
        <f>2026</f>
        <v>2026</v>
      </c>
      <c r="C24" s="7" t="s">
        <v>12</v>
      </c>
      <c r="D24" s="7">
        <v>55</v>
      </c>
      <c r="E24" s="7" t="s">
        <v>36</v>
      </c>
      <c r="F24" s="7" t="s">
        <v>43</v>
      </c>
      <c r="G24" s="8" t="s">
        <v>323</v>
      </c>
      <c r="H24" s="6" t="s">
        <v>16</v>
      </c>
      <c r="I24" s="9">
        <v>2942.78</v>
      </c>
      <c r="J24" s="5" t="s">
        <v>20</v>
      </c>
      <c r="K24" s="10">
        <v>4390</v>
      </c>
      <c r="N24"/>
      <c r="O24"/>
    </row>
    <row r="25" spans="1:15" x14ac:dyDescent="0.35">
      <c r="A25" s="7" t="s">
        <v>11</v>
      </c>
      <c r="B25" s="7">
        <f>2026</f>
        <v>2026</v>
      </c>
      <c r="C25" s="7" t="s">
        <v>12</v>
      </c>
      <c r="D25" s="7">
        <v>53</v>
      </c>
      <c r="E25" s="7" t="s">
        <v>26</v>
      </c>
      <c r="F25" s="7" t="s">
        <v>43</v>
      </c>
      <c r="G25" s="8" t="s">
        <v>323</v>
      </c>
      <c r="H25" s="2" t="s">
        <v>16</v>
      </c>
      <c r="I25" s="9">
        <v>5762.34</v>
      </c>
      <c r="J25" s="5" t="s">
        <v>17</v>
      </c>
      <c r="K25" s="10">
        <v>4390</v>
      </c>
      <c r="N25"/>
      <c r="O25"/>
    </row>
    <row r="26" spans="1:15" x14ac:dyDescent="0.35">
      <c r="A26" s="88" t="s">
        <v>11</v>
      </c>
      <c r="B26" s="7">
        <f>2026</f>
        <v>2026</v>
      </c>
      <c r="C26" s="7" t="s">
        <v>12</v>
      </c>
      <c r="D26" s="7">
        <v>48</v>
      </c>
      <c r="E26" s="7" t="s">
        <v>31</v>
      </c>
      <c r="F26" s="7" t="s">
        <v>44</v>
      </c>
      <c r="G26" s="8" t="s">
        <v>323</v>
      </c>
      <c r="H26" s="6" t="s">
        <v>16</v>
      </c>
      <c r="I26" s="9">
        <v>3304.35</v>
      </c>
      <c r="J26" s="5" t="s">
        <v>17</v>
      </c>
      <c r="K26" s="10">
        <v>4390</v>
      </c>
      <c r="N26"/>
      <c r="O26"/>
    </row>
    <row r="27" spans="1:15" x14ac:dyDescent="0.35">
      <c r="A27" s="7" t="s">
        <v>11</v>
      </c>
      <c r="B27" s="7">
        <f>2026</f>
        <v>2026</v>
      </c>
      <c r="C27" s="7" t="s">
        <v>12</v>
      </c>
      <c r="D27" s="7">
        <v>41</v>
      </c>
      <c r="E27" s="7" t="s">
        <v>14</v>
      </c>
      <c r="F27" s="7" t="s">
        <v>44</v>
      </c>
      <c r="G27" s="8" t="s">
        <v>323</v>
      </c>
      <c r="H27" s="2" t="s">
        <v>16</v>
      </c>
      <c r="I27" s="9">
        <v>6687.52</v>
      </c>
      <c r="J27" s="5" t="s">
        <v>17</v>
      </c>
      <c r="K27" s="10">
        <v>4390</v>
      </c>
      <c r="N27"/>
      <c r="O27"/>
    </row>
    <row r="28" spans="1:15" x14ac:dyDescent="0.35">
      <c r="A28" s="88" t="s">
        <v>11</v>
      </c>
      <c r="B28" s="7">
        <f>2026</f>
        <v>2026</v>
      </c>
      <c r="C28" s="7" t="s">
        <v>12</v>
      </c>
      <c r="D28" s="7">
        <v>54</v>
      </c>
      <c r="E28" s="7" t="s">
        <v>28</v>
      </c>
      <c r="F28" s="7" t="s">
        <v>45</v>
      </c>
      <c r="G28" s="8" t="s">
        <v>323</v>
      </c>
      <c r="H28" s="6" t="s">
        <v>16</v>
      </c>
      <c r="I28" s="9">
        <v>5483.98</v>
      </c>
      <c r="J28" s="5" t="s">
        <v>17</v>
      </c>
      <c r="K28" s="10">
        <v>4390</v>
      </c>
      <c r="N28"/>
      <c r="O28"/>
    </row>
    <row r="29" spans="1:15" x14ac:dyDescent="0.35">
      <c r="A29" s="7" t="s">
        <v>11</v>
      </c>
      <c r="B29" s="7">
        <f>2026</f>
        <v>2026</v>
      </c>
      <c r="C29" s="7" t="s">
        <v>12</v>
      </c>
      <c r="D29" s="7">
        <v>40</v>
      </c>
      <c r="E29" s="7" t="s">
        <v>41</v>
      </c>
      <c r="F29" s="7" t="s">
        <v>45</v>
      </c>
      <c r="G29" s="8" t="s">
        <v>323</v>
      </c>
      <c r="H29" s="2" t="s">
        <v>16</v>
      </c>
      <c r="I29" s="9">
        <v>1670.77</v>
      </c>
      <c r="J29" s="5" t="s">
        <v>20</v>
      </c>
      <c r="K29" s="10">
        <v>4390</v>
      </c>
      <c r="N29"/>
      <c r="O29"/>
    </row>
    <row r="30" spans="1:15" x14ac:dyDescent="0.35">
      <c r="A30" s="88" t="s">
        <v>11</v>
      </c>
      <c r="B30" s="7">
        <f>2026</f>
        <v>2026</v>
      </c>
      <c r="C30" s="7" t="s">
        <v>12</v>
      </c>
      <c r="D30" s="7">
        <v>45</v>
      </c>
      <c r="E30" s="7" t="s">
        <v>24</v>
      </c>
      <c r="F30" s="7" t="s">
        <v>46</v>
      </c>
      <c r="G30" s="8" t="s">
        <v>323</v>
      </c>
      <c r="H30" s="6" t="s">
        <v>16</v>
      </c>
      <c r="I30" s="9">
        <v>8476.2999999999993</v>
      </c>
      <c r="J30" s="5" t="s">
        <v>17</v>
      </c>
      <c r="K30" s="10">
        <v>4390</v>
      </c>
      <c r="N30"/>
      <c r="O30"/>
    </row>
    <row r="31" spans="1:15" x14ac:dyDescent="0.35">
      <c r="A31" s="7" t="s">
        <v>11</v>
      </c>
      <c r="B31" s="7">
        <f>2026</f>
        <v>2026</v>
      </c>
      <c r="C31" s="7" t="s">
        <v>12</v>
      </c>
      <c r="D31" s="7">
        <v>36</v>
      </c>
      <c r="E31" s="7" t="s">
        <v>38</v>
      </c>
      <c r="F31" s="7" t="s">
        <v>47</v>
      </c>
      <c r="G31" s="8" t="s">
        <v>323</v>
      </c>
      <c r="H31" s="2" t="s">
        <v>16</v>
      </c>
      <c r="I31" s="9">
        <v>1969.35</v>
      </c>
      <c r="J31" s="5" t="s">
        <v>33</v>
      </c>
      <c r="K31" s="10">
        <v>4390</v>
      </c>
      <c r="N31"/>
      <c r="O31"/>
    </row>
    <row r="32" spans="1:15" x14ac:dyDescent="0.35">
      <c r="A32" s="88" t="s">
        <v>11</v>
      </c>
      <c r="B32" s="7">
        <f>2026</f>
        <v>2026</v>
      </c>
      <c r="C32" s="7" t="s">
        <v>12</v>
      </c>
      <c r="D32" s="7">
        <v>49</v>
      </c>
      <c r="E32" s="7" t="s">
        <v>40</v>
      </c>
      <c r="F32" s="7" t="s">
        <v>47</v>
      </c>
      <c r="G32" s="8" t="s">
        <v>323</v>
      </c>
      <c r="H32" s="6" t="s">
        <v>16</v>
      </c>
      <c r="I32" s="9">
        <v>3521.4</v>
      </c>
      <c r="J32" s="5" t="s">
        <v>17</v>
      </c>
      <c r="K32" s="10">
        <v>4390</v>
      </c>
      <c r="N32"/>
      <c r="O32"/>
    </row>
    <row r="33" spans="1:15" x14ac:dyDescent="0.35">
      <c r="A33" s="7" t="s">
        <v>11</v>
      </c>
      <c r="B33" s="7">
        <f>2026</f>
        <v>2026</v>
      </c>
      <c r="C33" s="7" t="s">
        <v>12</v>
      </c>
      <c r="D33" s="7">
        <v>37</v>
      </c>
      <c r="E33" s="7" t="s">
        <v>41</v>
      </c>
      <c r="F33" s="7" t="s">
        <v>47</v>
      </c>
      <c r="G33" s="8" t="s">
        <v>323</v>
      </c>
      <c r="H33" s="2" t="s">
        <v>16</v>
      </c>
      <c r="I33" s="9">
        <v>1775</v>
      </c>
      <c r="J33" s="5" t="s">
        <v>33</v>
      </c>
      <c r="K33" s="10">
        <v>4390</v>
      </c>
      <c r="N33"/>
      <c r="O33"/>
    </row>
    <row r="34" spans="1:15" x14ac:dyDescent="0.35">
      <c r="A34" s="88" t="s">
        <v>11</v>
      </c>
      <c r="B34" s="7">
        <f>2026</f>
        <v>2026</v>
      </c>
      <c r="C34" s="7" t="s">
        <v>12</v>
      </c>
      <c r="D34" s="7">
        <v>55</v>
      </c>
      <c r="E34" s="7" t="s">
        <v>44</v>
      </c>
      <c r="F34" s="7" t="s">
        <v>48</v>
      </c>
      <c r="G34" s="8" t="s">
        <v>323</v>
      </c>
      <c r="H34" s="6" t="s">
        <v>16</v>
      </c>
      <c r="I34" s="9">
        <v>1835.71</v>
      </c>
      <c r="J34" s="5" t="s">
        <v>20</v>
      </c>
      <c r="K34" s="10">
        <v>4390</v>
      </c>
      <c r="N34"/>
      <c r="O34"/>
    </row>
    <row r="35" spans="1:15" x14ac:dyDescent="0.35">
      <c r="A35" s="7" t="s">
        <v>11</v>
      </c>
      <c r="B35" s="7">
        <f>2026</f>
        <v>2026</v>
      </c>
      <c r="C35" s="7" t="s">
        <v>12</v>
      </c>
      <c r="D35" s="7">
        <v>50</v>
      </c>
      <c r="E35" s="7" t="s">
        <v>28</v>
      </c>
      <c r="F35" s="7" t="s">
        <v>48</v>
      </c>
      <c r="G35" s="8" t="s">
        <v>323</v>
      </c>
      <c r="H35" s="2" t="s">
        <v>16</v>
      </c>
      <c r="I35" s="9">
        <v>5261.23</v>
      </c>
      <c r="J35" s="5" t="s">
        <v>17</v>
      </c>
      <c r="K35" s="10">
        <v>4390</v>
      </c>
      <c r="N35"/>
      <c r="O35"/>
    </row>
    <row r="36" spans="1:15" x14ac:dyDescent="0.35">
      <c r="A36" s="88" t="s">
        <v>11</v>
      </c>
      <c r="B36" s="7">
        <f>2026</f>
        <v>2026</v>
      </c>
      <c r="C36" s="7" t="s">
        <v>12</v>
      </c>
      <c r="D36" s="7">
        <v>46</v>
      </c>
      <c r="E36" s="7" t="s">
        <v>24</v>
      </c>
      <c r="F36" s="7" t="s">
        <v>49</v>
      </c>
      <c r="G36" s="8" t="s">
        <v>323</v>
      </c>
      <c r="H36" s="6" t="s">
        <v>16</v>
      </c>
      <c r="I36" s="9">
        <v>5965.71</v>
      </c>
      <c r="J36" s="5" t="s">
        <v>17</v>
      </c>
      <c r="K36" s="10">
        <v>4390</v>
      </c>
      <c r="N36"/>
      <c r="O36"/>
    </row>
    <row r="37" spans="1:15" x14ac:dyDescent="0.35">
      <c r="A37" s="7" t="s">
        <v>11</v>
      </c>
      <c r="B37" s="7">
        <f>2026</f>
        <v>2026</v>
      </c>
      <c r="C37" s="7" t="s">
        <v>12</v>
      </c>
      <c r="D37" s="7">
        <v>40</v>
      </c>
      <c r="E37" s="7" t="s">
        <v>45</v>
      </c>
      <c r="F37" s="7" t="s">
        <v>50</v>
      </c>
      <c r="G37" s="8" t="s">
        <v>323</v>
      </c>
      <c r="H37" s="2" t="s">
        <v>16</v>
      </c>
      <c r="I37" s="9">
        <v>1835.22</v>
      </c>
      <c r="J37" s="5" t="s">
        <v>42</v>
      </c>
      <c r="K37" s="10">
        <v>4390</v>
      </c>
      <c r="N37"/>
      <c r="O37"/>
    </row>
    <row r="38" spans="1:15" x14ac:dyDescent="0.35">
      <c r="A38" s="88" t="s">
        <v>11</v>
      </c>
      <c r="B38" s="7">
        <f>2026</f>
        <v>2026</v>
      </c>
      <c r="C38" s="7" t="s">
        <v>12</v>
      </c>
      <c r="D38" s="7">
        <v>41</v>
      </c>
      <c r="E38" s="7" t="s">
        <v>44</v>
      </c>
      <c r="F38" s="7" t="s">
        <v>51</v>
      </c>
      <c r="G38" s="8" t="s">
        <v>323</v>
      </c>
      <c r="H38" s="6" t="s">
        <v>16</v>
      </c>
      <c r="I38" s="9">
        <v>2744.75</v>
      </c>
      <c r="J38" s="5" t="s">
        <v>20</v>
      </c>
      <c r="K38" s="10">
        <v>4390</v>
      </c>
      <c r="N38"/>
      <c r="O38"/>
    </row>
    <row r="39" spans="1:15" x14ac:dyDescent="0.35">
      <c r="A39" s="7" t="s">
        <v>11</v>
      </c>
      <c r="B39" s="7">
        <f>2026</f>
        <v>2026</v>
      </c>
      <c r="C39" s="7" t="s">
        <v>12</v>
      </c>
      <c r="D39" s="7">
        <v>54</v>
      </c>
      <c r="E39" s="7" t="s">
        <v>45</v>
      </c>
      <c r="F39" s="7" t="s">
        <v>51</v>
      </c>
      <c r="G39" s="8" t="s">
        <v>323</v>
      </c>
      <c r="H39" s="2" t="s">
        <v>16</v>
      </c>
      <c r="I39" s="9">
        <v>3628.85</v>
      </c>
      <c r="J39" s="5" t="s">
        <v>17</v>
      </c>
      <c r="K39" s="10">
        <v>4390</v>
      </c>
      <c r="N39"/>
      <c r="O39"/>
    </row>
    <row r="40" spans="1:15" x14ac:dyDescent="0.35">
      <c r="A40" s="88" t="s">
        <v>11</v>
      </c>
      <c r="B40" s="7">
        <f>2026</f>
        <v>2026</v>
      </c>
      <c r="C40" s="7" t="s">
        <v>12</v>
      </c>
      <c r="D40" s="7">
        <v>40</v>
      </c>
      <c r="E40" s="7" t="s">
        <v>50</v>
      </c>
      <c r="F40" s="7" t="s">
        <v>51</v>
      </c>
      <c r="G40" s="8" t="s">
        <v>323</v>
      </c>
      <c r="H40" s="6" t="s">
        <v>16</v>
      </c>
      <c r="I40" s="9">
        <v>851.79</v>
      </c>
      <c r="J40" s="5" t="s">
        <v>20</v>
      </c>
      <c r="K40" s="10">
        <v>4390</v>
      </c>
      <c r="N40"/>
      <c r="O40"/>
    </row>
    <row r="41" spans="1:15" x14ac:dyDescent="0.35">
      <c r="A41" s="7" t="s">
        <v>11</v>
      </c>
      <c r="B41" s="7">
        <f>2026</f>
        <v>2026</v>
      </c>
      <c r="C41" s="7" t="s">
        <v>12</v>
      </c>
      <c r="D41" s="7">
        <v>44</v>
      </c>
      <c r="E41" s="7" t="s">
        <v>39</v>
      </c>
      <c r="F41" s="7" t="s">
        <v>52</v>
      </c>
      <c r="G41" s="8" t="s">
        <v>323</v>
      </c>
      <c r="H41" s="2" t="s">
        <v>16</v>
      </c>
      <c r="I41" s="9">
        <v>6069.18</v>
      </c>
      <c r="J41" s="5" t="s">
        <v>17</v>
      </c>
      <c r="K41" s="10">
        <v>4390</v>
      </c>
      <c r="N41"/>
      <c r="O41"/>
    </row>
    <row r="42" spans="1:15" x14ac:dyDescent="0.35">
      <c r="A42" s="88" t="s">
        <v>11</v>
      </c>
      <c r="B42" s="7">
        <f>2026</f>
        <v>2026</v>
      </c>
      <c r="C42" s="7" t="s">
        <v>12</v>
      </c>
      <c r="D42" s="7">
        <v>47</v>
      </c>
      <c r="E42" s="7" t="s">
        <v>40</v>
      </c>
      <c r="F42" s="7" t="s">
        <v>52</v>
      </c>
      <c r="G42" s="8" t="s">
        <v>323</v>
      </c>
      <c r="H42" s="6" t="s">
        <v>16</v>
      </c>
      <c r="I42" s="9">
        <v>3751.7</v>
      </c>
      <c r="J42" s="5" t="s">
        <v>20</v>
      </c>
      <c r="K42" s="10">
        <v>4390</v>
      </c>
      <c r="N42"/>
      <c r="O42"/>
    </row>
    <row r="43" spans="1:15" x14ac:dyDescent="0.35">
      <c r="A43" s="7" t="s">
        <v>11</v>
      </c>
      <c r="B43" s="7">
        <f>2026</f>
        <v>2026</v>
      </c>
      <c r="C43" s="7" t="s">
        <v>12</v>
      </c>
      <c r="D43" s="7">
        <v>36</v>
      </c>
      <c r="E43" s="7" t="s">
        <v>47</v>
      </c>
      <c r="F43" s="7" t="s">
        <v>52</v>
      </c>
      <c r="G43" s="8" t="s">
        <v>323</v>
      </c>
      <c r="H43" s="2" t="s">
        <v>16</v>
      </c>
      <c r="I43" s="9">
        <v>1961.37</v>
      </c>
      <c r="J43" s="5" t="s">
        <v>20</v>
      </c>
      <c r="K43" s="10">
        <v>4390</v>
      </c>
      <c r="N43"/>
      <c r="O43"/>
    </row>
    <row r="44" spans="1:15" x14ac:dyDescent="0.35">
      <c r="A44" s="88" t="s">
        <v>11</v>
      </c>
      <c r="B44" s="7">
        <f>2026</f>
        <v>2026</v>
      </c>
      <c r="C44" s="7" t="s">
        <v>12</v>
      </c>
      <c r="D44" s="7">
        <v>50</v>
      </c>
      <c r="E44" s="7" t="s">
        <v>48</v>
      </c>
      <c r="F44" s="7" t="s">
        <v>53</v>
      </c>
      <c r="G44" s="8" t="s">
        <v>323</v>
      </c>
      <c r="H44" s="6" t="s">
        <v>16</v>
      </c>
      <c r="I44" s="9">
        <v>1984.47</v>
      </c>
      <c r="J44" s="5" t="s">
        <v>20</v>
      </c>
      <c r="K44" s="10">
        <v>4390</v>
      </c>
      <c r="N44"/>
      <c r="O44"/>
    </row>
    <row r="45" spans="1:15" x14ac:dyDescent="0.35">
      <c r="A45" s="7" t="s">
        <v>11</v>
      </c>
      <c r="B45" s="7">
        <f>2026</f>
        <v>2026</v>
      </c>
      <c r="C45" s="7" t="s">
        <v>12</v>
      </c>
      <c r="D45" s="7">
        <v>40</v>
      </c>
      <c r="E45" s="7" t="s">
        <v>51</v>
      </c>
      <c r="F45" s="7" t="s">
        <v>54</v>
      </c>
      <c r="G45" s="8" t="s">
        <v>323</v>
      </c>
      <c r="H45" s="2" t="s">
        <v>16</v>
      </c>
      <c r="I45" s="9">
        <v>1658.09</v>
      </c>
      <c r="J45" s="5" t="s">
        <v>20</v>
      </c>
      <c r="K45" s="10">
        <v>4390</v>
      </c>
      <c r="N45"/>
      <c r="O45"/>
    </row>
    <row r="46" spans="1:15" x14ac:dyDescent="0.35">
      <c r="A46" s="88" t="s">
        <v>11</v>
      </c>
      <c r="B46" s="7">
        <f>2026</f>
        <v>2026</v>
      </c>
      <c r="C46" s="7" t="s">
        <v>12</v>
      </c>
      <c r="D46" s="7">
        <v>49</v>
      </c>
      <c r="E46" s="7" t="s">
        <v>47</v>
      </c>
      <c r="F46" s="7" t="s">
        <v>54</v>
      </c>
      <c r="G46" s="8" t="s">
        <v>323</v>
      </c>
      <c r="H46" s="6" t="s">
        <v>16</v>
      </c>
      <c r="I46" s="9">
        <v>4181.12</v>
      </c>
      <c r="J46" s="5" t="s">
        <v>17</v>
      </c>
      <c r="K46" s="10">
        <v>4390</v>
      </c>
      <c r="N46"/>
      <c r="O46"/>
    </row>
    <row r="47" spans="1:15" x14ac:dyDescent="0.35">
      <c r="A47" s="7" t="s">
        <v>11</v>
      </c>
      <c r="B47" s="7">
        <f>2026</f>
        <v>2026</v>
      </c>
      <c r="C47" s="7" t="s">
        <v>12</v>
      </c>
      <c r="D47" s="7">
        <v>45</v>
      </c>
      <c r="E47" s="7" t="s">
        <v>46</v>
      </c>
      <c r="F47" s="7" t="s">
        <v>54</v>
      </c>
      <c r="G47" s="8" t="s">
        <v>323</v>
      </c>
      <c r="H47" s="2" t="s">
        <v>16</v>
      </c>
      <c r="I47" s="9">
        <v>5482.4</v>
      </c>
      <c r="J47" s="5" t="s">
        <v>17</v>
      </c>
      <c r="K47" s="10">
        <v>4390</v>
      </c>
      <c r="N47"/>
      <c r="O47"/>
    </row>
    <row r="48" spans="1:15" x14ac:dyDescent="0.35">
      <c r="A48" s="88" t="s">
        <v>11</v>
      </c>
      <c r="B48" s="7">
        <f>2026</f>
        <v>2026</v>
      </c>
      <c r="C48" s="7" t="s">
        <v>12</v>
      </c>
      <c r="D48" s="7">
        <v>53</v>
      </c>
      <c r="E48" s="7" t="s">
        <v>43</v>
      </c>
      <c r="F48" s="7" t="s">
        <v>54</v>
      </c>
      <c r="G48" s="8" t="s">
        <v>323</v>
      </c>
      <c r="H48" s="6" t="s">
        <v>16</v>
      </c>
      <c r="I48" s="9">
        <v>7724.53</v>
      </c>
      <c r="J48" s="5" t="s">
        <v>17</v>
      </c>
      <c r="K48" s="10">
        <v>4390</v>
      </c>
      <c r="N48"/>
      <c r="O48"/>
    </row>
    <row r="49" spans="1:15" x14ac:dyDescent="0.35">
      <c r="A49" s="7" t="s">
        <v>11</v>
      </c>
      <c r="B49" s="7">
        <f>2026</f>
        <v>2026</v>
      </c>
      <c r="C49" s="7" t="s">
        <v>55</v>
      </c>
      <c r="D49" s="7">
        <v>55</v>
      </c>
      <c r="E49" s="7" t="s">
        <v>48</v>
      </c>
      <c r="F49" s="7">
        <v>46055</v>
      </c>
      <c r="G49" s="8" t="s">
        <v>323</v>
      </c>
      <c r="H49" s="2" t="s">
        <v>16</v>
      </c>
      <c r="I49" s="9">
        <v>3462.6</v>
      </c>
      <c r="J49" s="5" t="s">
        <v>17</v>
      </c>
      <c r="K49" s="10">
        <v>4390</v>
      </c>
      <c r="N49"/>
      <c r="O49"/>
    </row>
    <row r="50" spans="1:15" x14ac:dyDescent="0.35">
      <c r="A50" s="88" t="s">
        <v>11</v>
      </c>
      <c r="B50" s="7">
        <f>2026</f>
        <v>2026</v>
      </c>
      <c r="C50" s="7" t="s">
        <v>55</v>
      </c>
      <c r="D50" s="7">
        <v>36</v>
      </c>
      <c r="E50" s="7" t="s">
        <v>52</v>
      </c>
      <c r="F50" s="7">
        <v>46055</v>
      </c>
      <c r="G50" s="8" t="s">
        <v>323</v>
      </c>
      <c r="H50" s="6" t="s">
        <v>16</v>
      </c>
      <c r="I50" s="9">
        <v>1866.47</v>
      </c>
      <c r="J50" s="5" t="s">
        <v>33</v>
      </c>
      <c r="K50" s="10">
        <v>4390</v>
      </c>
      <c r="N50"/>
      <c r="O50"/>
    </row>
    <row r="51" spans="1:15" x14ac:dyDescent="0.35">
      <c r="A51" s="7" t="s">
        <v>11</v>
      </c>
      <c r="B51" s="7">
        <f>2026</f>
        <v>2026</v>
      </c>
      <c r="C51" s="7" t="s">
        <v>55</v>
      </c>
      <c r="D51" s="7">
        <v>40</v>
      </c>
      <c r="E51" s="7" t="s">
        <v>54</v>
      </c>
      <c r="F51" s="7">
        <v>46058</v>
      </c>
      <c r="G51" s="8" t="s">
        <v>323</v>
      </c>
      <c r="H51" s="2" t="s">
        <v>16</v>
      </c>
      <c r="I51" s="9">
        <v>1419.58</v>
      </c>
      <c r="J51" s="5" t="s">
        <v>33</v>
      </c>
      <c r="K51" s="10">
        <v>4390</v>
      </c>
      <c r="N51"/>
      <c r="O51"/>
    </row>
    <row r="52" spans="1:15" x14ac:dyDescent="0.35">
      <c r="A52" s="88" t="s">
        <v>11</v>
      </c>
      <c r="B52" s="7">
        <f>2026</f>
        <v>2026</v>
      </c>
      <c r="C52" s="7" t="s">
        <v>55</v>
      </c>
      <c r="D52" s="7">
        <v>46</v>
      </c>
      <c r="E52" s="7" t="s">
        <v>49</v>
      </c>
      <c r="F52" s="7">
        <v>46060</v>
      </c>
      <c r="G52" s="8" t="s">
        <v>323</v>
      </c>
      <c r="H52" s="6" t="s">
        <v>16</v>
      </c>
      <c r="I52" s="9">
        <v>8964.51</v>
      </c>
      <c r="J52" s="5" t="s">
        <v>17</v>
      </c>
      <c r="K52" s="10">
        <v>4390</v>
      </c>
      <c r="N52"/>
      <c r="O52"/>
    </row>
    <row r="53" spans="1:15" x14ac:dyDescent="0.35">
      <c r="A53" s="7" t="s">
        <v>11</v>
      </c>
      <c r="B53" s="7">
        <f>2026</f>
        <v>2026</v>
      </c>
      <c r="C53" s="7" t="s">
        <v>55</v>
      </c>
      <c r="D53" s="7">
        <v>50</v>
      </c>
      <c r="E53" s="7" t="s">
        <v>53</v>
      </c>
      <c r="F53" s="7">
        <v>46059</v>
      </c>
      <c r="G53" s="8" t="s">
        <v>323</v>
      </c>
      <c r="H53" s="2" t="s">
        <v>16</v>
      </c>
      <c r="I53" s="9">
        <v>3314.38</v>
      </c>
      <c r="J53" s="5" t="s">
        <v>17</v>
      </c>
      <c r="K53" s="10">
        <v>4390</v>
      </c>
      <c r="N53"/>
      <c r="O53"/>
    </row>
    <row r="54" spans="1:15" x14ac:dyDescent="0.35">
      <c r="A54" s="88" t="s">
        <v>11</v>
      </c>
      <c r="B54" s="7">
        <f>2026</f>
        <v>2026</v>
      </c>
      <c r="C54" s="7" t="s">
        <v>55</v>
      </c>
      <c r="D54" s="7">
        <v>55</v>
      </c>
      <c r="E54" s="7">
        <v>46055</v>
      </c>
      <c r="F54" s="7">
        <v>46060</v>
      </c>
      <c r="G54" s="8" t="s">
        <v>323</v>
      </c>
      <c r="H54" s="6" t="s">
        <v>16</v>
      </c>
      <c r="I54" s="9">
        <v>2473.3000000000002</v>
      </c>
      <c r="J54" s="5" t="s">
        <v>20</v>
      </c>
      <c r="K54" s="10">
        <v>4390</v>
      </c>
      <c r="N54"/>
      <c r="O54"/>
    </row>
    <row r="55" spans="1:15" x14ac:dyDescent="0.35">
      <c r="A55" s="7" t="s">
        <v>11</v>
      </c>
      <c r="B55" s="7">
        <f>2026</f>
        <v>2026</v>
      </c>
      <c r="C55" s="7" t="s">
        <v>55</v>
      </c>
      <c r="D55" s="7">
        <v>44</v>
      </c>
      <c r="E55" s="7" t="s">
        <v>52</v>
      </c>
      <c r="F55" s="7">
        <v>46060</v>
      </c>
      <c r="G55" s="8" t="s">
        <v>323</v>
      </c>
      <c r="H55" s="2" t="s">
        <v>16</v>
      </c>
      <c r="I55" s="9">
        <v>8329.86</v>
      </c>
      <c r="J55" s="5" t="s">
        <v>17</v>
      </c>
      <c r="K55" s="10">
        <v>4390</v>
      </c>
      <c r="N55"/>
      <c r="O55"/>
    </row>
    <row r="56" spans="1:15" x14ac:dyDescent="0.35">
      <c r="A56" s="88" t="s">
        <v>11</v>
      </c>
      <c r="B56" s="7">
        <f>2026</f>
        <v>2026</v>
      </c>
      <c r="C56" s="7" t="s">
        <v>55</v>
      </c>
      <c r="D56" s="7">
        <v>54</v>
      </c>
      <c r="E56" s="7" t="s">
        <v>51</v>
      </c>
      <c r="F56" s="7">
        <v>46060</v>
      </c>
      <c r="G56" s="8" t="s">
        <v>323</v>
      </c>
      <c r="H56" s="6" t="s">
        <v>16</v>
      </c>
      <c r="I56" s="9">
        <v>3379.71</v>
      </c>
      <c r="J56" s="5" t="s">
        <v>20</v>
      </c>
      <c r="K56" s="10">
        <v>4390</v>
      </c>
      <c r="N56"/>
      <c r="O56"/>
    </row>
    <row r="57" spans="1:15" x14ac:dyDescent="0.35">
      <c r="A57" s="7" t="s">
        <v>11</v>
      </c>
      <c r="B57" s="7">
        <f>2026</f>
        <v>2026</v>
      </c>
      <c r="C57" s="7" t="s">
        <v>55</v>
      </c>
      <c r="D57" s="7">
        <v>40</v>
      </c>
      <c r="E57" s="7" t="s">
        <v>24</v>
      </c>
      <c r="F57" s="7">
        <v>46061</v>
      </c>
      <c r="G57" s="8" t="s">
        <v>323</v>
      </c>
      <c r="H57" s="2" t="s">
        <v>16</v>
      </c>
      <c r="I57" s="9">
        <v>1169.5</v>
      </c>
      <c r="J57" s="5" t="s">
        <v>33</v>
      </c>
      <c r="K57" s="10">
        <v>4390</v>
      </c>
      <c r="N57"/>
      <c r="O57"/>
    </row>
    <row r="58" spans="1:15" x14ac:dyDescent="0.35">
      <c r="A58" s="88" t="s">
        <v>11</v>
      </c>
      <c r="B58" s="7">
        <f>2026</f>
        <v>2026</v>
      </c>
      <c r="C58" s="7" t="s">
        <v>55</v>
      </c>
      <c r="D58" s="7">
        <v>48</v>
      </c>
      <c r="E58" s="7" t="s">
        <v>44</v>
      </c>
      <c r="F58" s="7">
        <v>46062</v>
      </c>
      <c r="G58" s="8" t="s">
        <v>323</v>
      </c>
      <c r="H58" s="6" t="s">
        <v>16</v>
      </c>
      <c r="I58" s="9">
        <v>4270.42</v>
      </c>
      <c r="J58" s="5" t="s">
        <v>17</v>
      </c>
      <c r="K58" s="10">
        <v>4390</v>
      </c>
      <c r="N58"/>
      <c r="O58"/>
    </row>
    <row r="59" spans="1:15" x14ac:dyDescent="0.35">
      <c r="A59" s="7" t="s">
        <v>11</v>
      </c>
      <c r="B59" s="7">
        <f>2026</f>
        <v>2026</v>
      </c>
      <c r="C59" s="7" t="s">
        <v>55</v>
      </c>
      <c r="D59" s="7">
        <v>53</v>
      </c>
      <c r="E59" s="7" t="s">
        <v>54</v>
      </c>
      <c r="F59" s="7">
        <v>46063</v>
      </c>
      <c r="G59" s="8" t="s">
        <v>323</v>
      </c>
      <c r="H59" s="2" t="s">
        <v>16</v>
      </c>
      <c r="I59" s="9">
        <v>5577.17</v>
      </c>
      <c r="J59" s="5" t="s">
        <v>17</v>
      </c>
      <c r="K59" s="10">
        <v>4390</v>
      </c>
      <c r="N59"/>
      <c r="O59"/>
    </row>
    <row r="60" spans="1:15" x14ac:dyDescent="0.35">
      <c r="A60" s="88" t="s">
        <v>11</v>
      </c>
      <c r="B60" s="7">
        <f>2026</f>
        <v>2026</v>
      </c>
      <c r="C60" s="7" t="s">
        <v>55</v>
      </c>
      <c r="D60" s="7">
        <v>49</v>
      </c>
      <c r="E60" s="7" t="s">
        <v>54</v>
      </c>
      <c r="F60" s="7">
        <v>46063</v>
      </c>
      <c r="G60" s="8" t="s">
        <v>323</v>
      </c>
      <c r="H60" s="6" t="s">
        <v>16</v>
      </c>
      <c r="I60" s="9">
        <v>5398.19</v>
      </c>
      <c r="J60" s="5" t="s">
        <v>17</v>
      </c>
      <c r="K60" s="10">
        <v>4390</v>
      </c>
      <c r="N60"/>
      <c r="O60"/>
    </row>
    <row r="61" spans="1:15" x14ac:dyDescent="0.35">
      <c r="A61" s="7" t="s">
        <v>11</v>
      </c>
      <c r="B61" s="7">
        <f>2026</f>
        <v>2026</v>
      </c>
      <c r="C61" s="7" t="s">
        <v>55</v>
      </c>
      <c r="D61" s="7">
        <v>47</v>
      </c>
      <c r="E61" s="7" t="s">
        <v>52</v>
      </c>
      <c r="F61" s="7">
        <v>46064</v>
      </c>
      <c r="G61" s="8" t="s">
        <v>323</v>
      </c>
      <c r="H61" s="2" t="s">
        <v>16</v>
      </c>
      <c r="I61" s="9">
        <v>5091.33</v>
      </c>
      <c r="J61" s="5" t="s">
        <v>17</v>
      </c>
      <c r="K61" s="10">
        <v>4390</v>
      </c>
      <c r="N61"/>
      <c r="O61"/>
    </row>
    <row r="62" spans="1:15" x14ac:dyDescent="0.35">
      <c r="A62" s="88" t="s">
        <v>11</v>
      </c>
      <c r="B62" s="7">
        <f>2026</f>
        <v>2026</v>
      </c>
      <c r="C62" s="7" t="s">
        <v>55</v>
      </c>
      <c r="D62" s="7">
        <v>40</v>
      </c>
      <c r="E62" s="7">
        <v>46061</v>
      </c>
      <c r="F62" s="7">
        <v>46064</v>
      </c>
      <c r="G62" s="8" t="s">
        <v>323</v>
      </c>
      <c r="H62" s="6" t="s">
        <v>16</v>
      </c>
      <c r="I62" s="9">
        <v>1146.96</v>
      </c>
      <c r="J62" s="5" t="s">
        <v>20</v>
      </c>
      <c r="K62" s="10">
        <v>4390</v>
      </c>
      <c r="N62"/>
      <c r="O62"/>
    </row>
    <row r="63" spans="1:15" x14ac:dyDescent="0.35">
      <c r="A63" s="7" t="s">
        <v>11</v>
      </c>
      <c r="B63" s="7">
        <f>2026</f>
        <v>2026</v>
      </c>
      <c r="C63" s="7" t="s">
        <v>55</v>
      </c>
      <c r="D63" s="7">
        <v>45</v>
      </c>
      <c r="E63" s="7" t="s">
        <v>54</v>
      </c>
      <c r="F63" s="7">
        <v>46065</v>
      </c>
      <c r="G63" s="8" t="s">
        <v>323</v>
      </c>
      <c r="H63" s="2" t="s">
        <v>16</v>
      </c>
      <c r="I63" s="9">
        <v>6875.16</v>
      </c>
      <c r="J63" s="5" t="s">
        <v>17</v>
      </c>
      <c r="K63" s="10">
        <v>4390</v>
      </c>
      <c r="N63"/>
      <c r="O63"/>
    </row>
    <row r="64" spans="1:15" x14ac:dyDescent="0.35">
      <c r="A64" s="88" t="s">
        <v>11</v>
      </c>
      <c r="B64" s="7">
        <f>2026</f>
        <v>2026</v>
      </c>
      <c r="C64" s="7" t="s">
        <v>55</v>
      </c>
      <c r="D64" s="7">
        <v>36</v>
      </c>
      <c r="E64" s="7">
        <v>46055</v>
      </c>
      <c r="F64" s="7">
        <v>46065</v>
      </c>
      <c r="G64" s="8" t="s">
        <v>323</v>
      </c>
      <c r="H64" s="6" t="s">
        <v>16</v>
      </c>
      <c r="I64" s="9">
        <v>2992.56</v>
      </c>
      <c r="J64" s="5" t="s">
        <v>20</v>
      </c>
      <c r="K64" s="10">
        <v>4390</v>
      </c>
      <c r="N64"/>
      <c r="O64"/>
    </row>
    <row r="65" spans="1:15" x14ac:dyDescent="0.35">
      <c r="A65" s="7" t="s">
        <v>11</v>
      </c>
      <c r="B65" s="7">
        <f>2026</f>
        <v>2026</v>
      </c>
      <c r="C65" s="7" t="s">
        <v>55</v>
      </c>
      <c r="D65" s="7">
        <v>44</v>
      </c>
      <c r="E65" s="7">
        <v>46060</v>
      </c>
      <c r="F65" s="7">
        <v>46066</v>
      </c>
      <c r="G65" s="8" t="s">
        <v>323</v>
      </c>
      <c r="H65" s="2" t="s">
        <v>16</v>
      </c>
      <c r="I65" s="9">
        <v>2328.58</v>
      </c>
      <c r="J65" s="5" t="s">
        <v>20</v>
      </c>
      <c r="K65" s="10">
        <v>4390</v>
      </c>
      <c r="N65"/>
      <c r="O65"/>
    </row>
    <row r="66" spans="1:15" x14ac:dyDescent="0.35">
      <c r="A66" s="88" t="s">
        <v>11</v>
      </c>
      <c r="B66" s="7">
        <f>2026</f>
        <v>2026</v>
      </c>
      <c r="C66" s="7" t="s">
        <v>55</v>
      </c>
      <c r="D66" s="7">
        <v>40</v>
      </c>
      <c r="E66" s="7">
        <v>46064</v>
      </c>
      <c r="F66" s="7">
        <v>46067</v>
      </c>
      <c r="G66" s="8" t="s">
        <v>323</v>
      </c>
      <c r="H66" s="6" t="s">
        <v>16</v>
      </c>
      <c r="I66" s="9">
        <v>1353.6</v>
      </c>
      <c r="J66" s="5" t="s">
        <v>20</v>
      </c>
      <c r="K66" s="10">
        <v>4390</v>
      </c>
      <c r="N66"/>
      <c r="O66"/>
    </row>
    <row r="67" spans="1:15" x14ac:dyDescent="0.35">
      <c r="A67" s="7" t="s">
        <v>11</v>
      </c>
      <c r="B67" s="7">
        <f>2026</f>
        <v>2026</v>
      </c>
      <c r="C67" s="7" t="s">
        <v>55</v>
      </c>
      <c r="D67" s="7">
        <v>37</v>
      </c>
      <c r="E67" s="7" t="s">
        <v>56</v>
      </c>
      <c r="F67" s="7">
        <v>46067</v>
      </c>
      <c r="G67" s="8" t="s">
        <v>323</v>
      </c>
      <c r="H67" s="2" t="s">
        <v>16</v>
      </c>
      <c r="I67" s="9">
        <v>8877.01</v>
      </c>
      <c r="J67" s="5" t="s">
        <v>17</v>
      </c>
      <c r="K67" s="10">
        <v>4390</v>
      </c>
      <c r="N67"/>
      <c r="O67"/>
    </row>
    <row r="68" spans="1:15" x14ac:dyDescent="0.35">
      <c r="A68" s="88" t="s">
        <v>11</v>
      </c>
      <c r="B68" s="7">
        <f>2026</f>
        <v>2026</v>
      </c>
      <c r="C68" s="7" t="s">
        <v>55</v>
      </c>
      <c r="D68" s="7">
        <v>46</v>
      </c>
      <c r="E68" s="7">
        <v>46060</v>
      </c>
      <c r="F68" s="7">
        <v>46068</v>
      </c>
      <c r="G68" s="8" t="s">
        <v>323</v>
      </c>
      <c r="H68" s="6" t="s">
        <v>16</v>
      </c>
      <c r="I68" s="9">
        <v>5920.33</v>
      </c>
      <c r="J68" s="5" t="s">
        <v>17</v>
      </c>
      <c r="K68" s="10">
        <v>4390</v>
      </c>
      <c r="N68"/>
      <c r="O68"/>
    </row>
    <row r="69" spans="1:15" x14ac:dyDescent="0.35">
      <c r="A69" s="7" t="s">
        <v>11</v>
      </c>
      <c r="B69" s="7">
        <f>2026</f>
        <v>2026</v>
      </c>
      <c r="C69" s="7" t="s">
        <v>55</v>
      </c>
      <c r="D69" s="7">
        <v>54</v>
      </c>
      <c r="E69" s="7">
        <v>46060</v>
      </c>
      <c r="F69" s="7">
        <v>46069</v>
      </c>
      <c r="G69" s="8" t="s">
        <v>323</v>
      </c>
      <c r="H69" s="2" t="s">
        <v>16</v>
      </c>
      <c r="I69" s="9">
        <v>4711.87</v>
      </c>
      <c r="J69" s="5" t="s">
        <v>17</v>
      </c>
      <c r="K69" s="10">
        <v>4390</v>
      </c>
      <c r="N69"/>
      <c r="O69"/>
    </row>
    <row r="70" spans="1:15" x14ac:dyDescent="0.35">
      <c r="A70" s="88" t="s">
        <v>11</v>
      </c>
      <c r="B70" s="7">
        <f>2026</f>
        <v>2026</v>
      </c>
      <c r="C70" s="7" t="s">
        <v>55</v>
      </c>
      <c r="D70" s="7">
        <v>50</v>
      </c>
      <c r="E70" s="7">
        <v>46059</v>
      </c>
      <c r="F70" s="7">
        <v>46069</v>
      </c>
      <c r="G70" s="8" t="s">
        <v>323</v>
      </c>
      <c r="H70" s="6" t="s">
        <v>16</v>
      </c>
      <c r="I70" s="9">
        <v>5101.33</v>
      </c>
      <c r="J70" s="5" t="s">
        <v>17</v>
      </c>
      <c r="K70" s="10">
        <v>4390</v>
      </c>
      <c r="N70"/>
      <c r="O70"/>
    </row>
    <row r="71" spans="1:15" x14ac:dyDescent="0.35">
      <c r="A71" s="7" t="s">
        <v>11</v>
      </c>
      <c r="B71" s="7">
        <f>2026</f>
        <v>2026</v>
      </c>
      <c r="C71" s="7" t="s">
        <v>55</v>
      </c>
      <c r="D71" s="7">
        <v>40</v>
      </c>
      <c r="E71" s="7">
        <v>46067</v>
      </c>
      <c r="F71" s="7">
        <v>46069</v>
      </c>
      <c r="G71" s="8" t="s">
        <v>323</v>
      </c>
      <c r="H71" s="2" t="s">
        <v>16</v>
      </c>
      <c r="I71" s="9">
        <v>1347.41</v>
      </c>
      <c r="J71" s="5" t="s">
        <v>20</v>
      </c>
      <c r="K71" s="10">
        <v>4390</v>
      </c>
      <c r="N71"/>
      <c r="O71"/>
    </row>
    <row r="72" spans="1:15" x14ac:dyDescent="0.35">
      <c r="A72" s="88" t="s">
        <v>11</v>
      </c>
      <c r="B72" s="7">
        <f>2026</f>
        <v>2026</v>
      </c>
      <c r="C72" s="7" t="s">
        <v>55</v>
      </c>
      <c r="D72" s="7">
        <v>48</v>
      </c>
      <c r="E72" s="7">
        <v>46062</v>
      </c>
      <c r="F72" s="7">
        <v>46071</v>
      </c>
      <c r="G72" s="8" t="s">
        <v>323</v>
      </c>
      <c r="H72" s="6" t="s">
        <v>16</v>
      </c>
      <c r="I72" s="9">
        <v>3448.3</v>
      </c>
      <c r="J72" s="5" t="s">
        <v>17</v>
      </c>
      <c r="K72" s="10">
        <v>4390</v>
      </c>
      <c r="N72"/>
      <c r="O72"/>
    </row>
    <row r="73" spans="1:15" x14ac:dyDescent="0.35">
      <c r="A73" s="7" t="s">
        <v>11</v>
      </c>
      <c r="B73" s="7">
        <f>2026</f>
        <v>2026</v>
      </c>
      <c r="C73" s="7" t="s">
        <v>55</v>
      </c>
      <c r="D73" s="7">
        <v>47</v>
      </c>
      <c r="E73" s="7">
        <v>46064</v>
      </c>
      <c r="F73" s="7">
        <v>46073</v>
      </c>
      <c r="G73" s="8" t="s">
        <v>323</v>
      </c>
      <c r="H73" s="2" t="s">
        <v>16</v>
      </c>
      <c r="I73" s="9">
        <v>2323.83</v>
      </c>
      <c r="J73" s="5" t="s">
        <v>20</v>
      </c>
      <c r="K73" s="10">
        <v>4390</v>
      </c>
      <c r="N73"/>
      <c r="O73"/>
    </row>
    <row r="74" spans="1:15" x14ac:dyDescent="0.35">
      <c r="A74" s="88" t="s">
        <v>11</v>
      </c>
      <c r="B74" s="7">
        <f>2026</f>
        <v>2026</v>
      </c>
      <c r="C74" s="7" t="s">
        <v>55</v>
      </c>
      <c r="D74" s="7">
        <v>40</v>
      </c>
      <c r="E74" s="7">
        <v>46069</v>
      </c>
      <c r="F74" s="7">
        <v>46072</v>
      </c>
      <c r="G74" s="8" t="s">
        <v>323</v>
      </c>
      <c r="H74" s="6" t="s">
        <v>16</v>
      </c>
      <c r="I74" s="9">
        <v>1136.18</v>
      </c>
      <c r="J74" s="5" t="s">
        <v>20</v>
      </c>
      <c r="K74" s="10">
        <v>4390</v>
      </c>
      <c r="N74"/>
      <c r="O74"/>
    </row>
    <row r="75" spans="1:15" x14ac:dyDescent="0.35">
      <c r="A75" s="7" t="s">
        <v>11</v>
      </c>
      <c r="B75" s="7">
        <f>2026</f>
        <v>2026</v>
      </c>
      <c r="C75" s="7" t="s">
        <v>55</v>
      </c>
      <c r="D75" s="7">
        <v>55</v>
      </c>
      <c r="E75" s="7">
        <v>46061</v>
      </c>
      <c r="F75" s="7">
        <v>46072</v>
      </c>
      <c r="G75" s="8" t="s">
        <v>323</v>
      </c>
      <c r="H75" s="2" t="s">
        <v>16</v>
      </c>
      <c r="I75" s="9">
        <v>4851.5</v>
      </c>
      <c r="J75" s="5" t="s">
        <v>17</v>
      </c>
      <c r="K75" s="10">
        <v>4390</v>
      </c>
      <c r="N75"/>
      <c r="O75"/>
    </row>
    <row r="76" spans="1:15" x14ac:dyDescent="0.35">
      <c r="A76" s="88" t="s">
        <v>11</v>
      </c>
      <c r="B76" s="7">
        <f>2026</f>
        <v>2026</v>
      </c>
      <c r="C76" s="7" t="s">
        <v>55</v>
      </c>
      <c r="D76" s="7">
        <v>37</v>
      </c>
      <c r="E76" s="7">
        <v>46067</v>
      </c>
      <c r="F76" s="7">
        <v>46072</v>
      </c>
      <c r="G76" s="8" t="s">
        <v>323</v>
      </c>
      <c r="H76" s="6" t="s">
        <v>16</v>
      </c>
      <c r="I76" s="9">
        <v>1092</v>
      </c>
      <c r="J76" s="5" t="s">
        <v>20</v>
      </c>
      <c r="K76" s="10">
        <v>4390</v>
      </c>
      <c r="N76"/>
      <c r="O76"/>
    </row>
    <row r="77" spans="1:15" x14ac:dyDescent="0.35">
      <c r="A77" s="7" t="s">
        <v>11</v>
      </c>
      <c r="B77" s="7">
        <f>2026</f>
        <v>2026</v>
      </c>
      <c r="C77" s="7" t="s">
        <v>55</v>
      </c>
      <c r="D77" s="7">
        <v>36</v>
      </c>
      <c r="E77" s="7">
        <v>46065</v>
      </c>
      <c r="F77" s="7">
        <v>46075</v>
      </c>
      <c r="G77" s="8" t="s">
        <v>323</v>
      </c>
      <c r="H77" s="2" t="s">
        <v>16</v>
      </c>
      <c r="I77" s="9">
        <v>3853.28</v>
      </c>
      <c r="J77" s="5" t="s">
        <v>17</v>
      </c>
      <c r="K77" s="10">
        <v>4390</v>
      </c>
      <c r="N77"/>
      <c r="O77"/>
    </row>
    <row r="78" spans="1:15" x14ac:dyDescent="0.35">
      <c r="A78" s="88" t="s">
        <v>11</v>
      </c>
      <c r="B78" s="7">
        <f>2026</f>
        <v>2026</v>
      </c>
      <c r="C78" s="7" t="s">
        <v>55</v>
      </c>
      <c r="D78" s="7">
        <v>44</v>
      </c>
      <c r="E78" s="7">
        <v>46066</v>
      </c>
      <c r="F78" s="7">
        <v>46075</v>
      </c>
      <c r="G78" s="8" t="s">
        <v>323</v>
      </c>
      <c r="H78" s="6" t="s">
        <v>16</v>
      </c>
      <c r="I78" s="9">
        <v>3676.38</v>
      </c>
      <c r="J78" s="5" t="s">
        <v>17</v>
      </c>
      <c r="K78" s="10">
        <v>4390</v>
      </c>
      <c r="N78"/>
      <c r="O78"/>
    </row>
    <row r="79" spans="1:15" x14ac:dyDescent="0.35">
      <c r="A79" s="7" t="s">
        <v>11</v>
      </c>
      <c r="B79" s="7">
        <f>2026</f>
        <v>2026</v>
      </c>
      <c r="C79" s="7" t="s">
        <v>55</v>
      </c>
      <c r="D79" s="7">
        <v>46</v>
      </c>
      <c r="E79" s="7">
        <v>46068</v>
      </c>
      <c r="F79" s="7">
        <v>46075</v>
      </c>
      <c r="G79" s="8" t="s">
        <v>323</v>
      </c>
      <c r="H79" s="2" t="s">
        <v>16</v>
      </c>
      <c r="I79" s="9">
        <v>4273.34</v>
      </c>
      <c r="J79" s="5" t="s">
        <v>17</v>
      </c>
      <c r="K79" s="10">
        <v>4390</v>
      </c>
      <c r="N79"/>
      <c r="O79"/>
    </row>
    <row r="80" spans="1:15" x14ac:dyDescent="0.35">
      <c r="A80" s="88" t="s">
        <v>11</v>
      </c>
      <c r="B80" s="7">
        <f>2026</f>
        <v>2026</v>
      </c>
      <c r="C80" s="7" t="s">
        <v>55</v>
      </c>
      <c r="D80" s="7">
        <v>49</v>
      </c>
      <c r="E80" s="7">
        <v>46063</v>
      </c>
      <c r="F80" s="7">
        <v>46075</v>
      </c>
      <c r="G80" s="8" t="s">
        <v>323</v>
      </c>
      <c r="H80" s="6" t="s">
        <v>16</v>
      </c>
      <c r="I80" s="9">
        <v>5566.12</v>
      </c>
      <c r="J80" s="5" t="s">
        <v>17</v>
      </c>
      <c r="K80" s="10">
        <v>4390</v>
      </c>
      <c r="N80"/>
      <c r="O80"/>
    </row>
    <row r="81" spans="1:15" x14ac:dyDescent="0.35">
      <c r="A81" s="7" t="s">
        <v>11</v>
      </c>
      <c r="B81" s="7">
        <f>2026</f>
        <v>2026</v>
      </c>
      <c r="C81" s="7" t="s">
        <v>55</v>
      </c>
      <c r="D81" s="7">
        <v>40</v>
      </c>
      <c r="E81" s="7">
        <v>46072</v>
      </c>
      <c r="F81" s="7">
        <v>46075</v>
      </c>
      <c r="G81" s="8" t="s">
        <v>323</v>
      </c>
      <c r="H81" s="2" t="s">
        <v>16</v>
      </c>
      <c r="I81" s="9">
        <v>1051.97</v>
      </c>
      <c r="J81" s="5" t="s">
        <v>33</v>
      </c>
      <c r="K81" s="10">
        <v>4390</v>
      </c>
      <c r="N81"/>
      <c r="O81"/>
    </row>
    <row r="82" spans="1:15" x14ac:dyDescent="0.35">
      <c r="A82" s="88" t="s">
        <v>11</v>
      </c>
      <c r="B82" s="7">
        <f>2026</f>
        <v>2026</v>
      </c>
      <c r="C82" s="7" t="s">
        <v>55</v>
      </c>
      <c r="D82" s="7">
        <v>37</v>
      </c>
      <c r="E82" s="7">
        <v>46072</v>
      </c>
      <c r="F82" s="7">
        <v>46075</v>
      </c>
      <c r="G82" s="8" t="s">
        <v>323</v>
      </c>
      <c r="H82" s="6" t="s">
        <v>16</v>
      </c>
      <c r="I82" s="9">
        <v>1000</v>
      </c>
      <c r="J82" s="5" t="s">
        <v>33</v>
      </c>
      <c r="K82" s="10">
        <v>4390</v>
      </c>
      <c r="N82"/>
      <c r="O82"/>
    </row>
    <row r="83" spans="1:15" x14ac:dyDescent="0.35">
      <c r="A83" s="7" t="s">
        <v>11</v>
      </c>
      <c r="B83" s="7">
        <f>2026</f>
        <v>2026</v>
      </c>
      <c r="C83" s="7" t="s">
        <v>55</v>
      </c>
      <c r="D83" s="7">
        <v>48</v>
      </c>
      <c r="E83" s="7">
        <v>46071</v>
      </c>
      <c r="F83" s="7">
        <v>46077</v>
      </c>
      <c r="G83" s="8" t="s">
        <v>323</v>
      </c>
      <c r="H83" s="2" t="s">
        <v>16</v>
      </c>
      <c r="I83" s="9">
        <v>2006.13</v>
      </c>
      <c r="J83" s="5" t="s">
        <v>33</v>
      </c>
      <c r="K83" s="10">
        <v>4390</v>
      </c>
      <c r="N83"/>
      <c r="O83"/>
    </row>
    <row r="84" spans="1:15" x14ac:dyDescent="0.35">
      <c r="A84" s="88" t="s">
        <v>11</v>
      </c>
      <c r="B84" s="7">
        <f>2026</f>
        <v>2026</v>
      </c>
      <c r="C84" s="7" t="s">
        <v>55</v>
      </c>
      <c r="D84" s="7">
        <v>45</v>
      </c>
      <c r="E84" s="7">
        <v>46065</v>
      </c>
      <c r="F84" s="7">
        <v>46076</v>
      </c>
      <c r="G84" s="8" t="s">
        <v>323</v>
      </c>
      <c r="H84" s="6" t="s">
        <v>16</v>
      </c>
      <c r="I84" s="9">
        <v>6192.45</v>
      </c>
      <c r="J84" s="5" t="s">
        <v>17</v>
      </c>
      <c r="K84" s="10">
        <v>4390</v>
      </c>
      <c r="N84"/>
      <c r="O84"/>
    </row>
    <row r="85" spans="1:15" x14ac:dyDescent="0.35">
      <c r="A85" s="7" t="s">
        <v>11</v>
      </c>
      <c r="B85" s="7">
        <f>2026</f>
        <v>2026</v>
      </c>
      <c r="C85" s="7" t="s">
        <v>55</v>
      </c>
      <c r="D85" s="7">
        <v>47</v>
      </c>
      <c r="E85" s="7">
        <v>46073</v>
      </c>
      <c r="F85" s="7">
        <v>46078</v>
      </c>
      <c r="G85" s="8" t="s">
        <v>323</v>
      </c>
      <c r="H85" s="2" t="s">
        <v>16</v>
      </c>
      <c r="I85" s="9">
        <v>1258.92</v>
      </c>
      <c r="J85" s="5" t="s">
        <v>20</v>
      </c>
      <c r="K85" s="10">
        <v>4390</v>
      </c>
      <c r="N85"/>
      <c r="O85"/>
    </row>
    <row r="86" spans="1:15" x14ac:dyDescent="0.35">
      <c r="A86" s="88" t="s">
        <v>11</v>
      </c>
      <c r="B86" s="7">
        <f>2026</f>
        <v>2026</v>
      </c>
      <c r="C86" s="7" t="s">
        <v>55</v>
      </c>
      <c r="D86" s="7">
        <v>37</v>
      </c>
      <c r="E86" s="7">
        <v>46075</v>
      </c>
      <c r="F86" s="7">
        <v>46079</v>
      </c>
      <c r="G86" s="8" t="s">
        <v>323</v>
      </c>
      <c r="H86" s="6" t="s">
        <v>16</v>
      </c>
      <c r="I86" s="9">
        <v>1609</v>
      </c>
      <c r="J86" s="5" t="s">
        <v>20</v>
      </c>
      <c r="K86" s="10">
        <v>4390</v>
      </c>
      <c r="N86"/>
      <c r="O86"/>
    </row>
    <row r="87" spans="1:15" x14ac:dyDescent="0.35">
      <c r="A87" s="7" t="s">
        <v>11</v>
      </c>
      <c r="B87" s="7">
        <f>2026</f>
        <v>2026</v>
      </c>
      <c r="C87" s="7" t="s">
        <v>55</v>
      </c>
      <c r="D87" s="7">
        <v>50</v>
      </c>
      <c r="E87" s="7">
        <v>46069</v>
      </c>
      <c r="F87" s="7">
        <v>46080</v>
      </c>
      <c r="G87" s="8" t="s">
        <v>323</v>
      </c>
      <c r="H87" s="2" t="s">
        <v>16</v>
      </c>
      <c r="I87" s="9">
        <v>5127.8999999999996</v>
      </c>
      <c r="J87" s="5" t="s">
        <v>17</v>
      </c>
      <c r="K87" s="10">
        <v>4390</v>
      </c>
      <c r="N87"/>
      <c r="O87"/>
    </row>
    <row r="88" spans="1:15" x14ac:dyDescent="0.35">
      <c r="A88" s="88" t="s">
        <v>11</v>
      </c>
      <c r="B88" s="7">
        <f>2026</f>
        <v>2026</v>
      </c>
      <c r="C88" s="7" t="s">
        <v>55</v>
      </c>
      <c r="D88" s="7">
        <v>53</v>
      </c>
      <c r="E88" s="7">
        <v>9433.2099999999991</v>
      </c>
      <c r="F88" s="7">
        <v>46063</v>
      </c>
      <c r="G88" s="8" t="s">
        <v>323</v>
      </c>
      <c r="H88" s="6" t="s">
        <v>16</v>
      </c>
      <c r="I88" s="9">
        <v>9433.2099999999991</v>
      </c>
      <c r="J88" s="5" t="s">
        <v>17</v>
      </c>
      <c r="K88" s="10">
        <v>4390</v>
      </c>
      <c r="N88"/>
      <c r="O88"/>
    </row>
    <row r="89" spans="1:15" x14ac:dyDescent="0.35">
      <c r="A89" s="7" t="s">
        <v>11</v>
      </c>
      <c r="B89" s="7">
        <f>2026</f>
        <v>2026</v>
      </c>
      <c r="C89" s="7" t="s">
        <v>55</v>
      </c>
      <c r="D89" s="7">
        <v>41</v>
      </c>
      <c r="E89" s="7">
        <v>46049</v>
      </c>
      <c r="F89" s="7">
        <v>46081</v>
      </c>
      <c r="G89" s="8" t="s">
        <v>323</v>
      </c>
      <c r="H89" s="2" t="s">
        <v>16</v>
      </c>
      <c r="I89" s="9">
        <v>3925.8</v>
      </c>
      <c r="J89" s="5" t="s">
        <v>17</v>
      </c>
      <c r="K89" s="10">
        <v>4390</v>
      </c>
      <c r="N89"/>
      <c r="O89"/>
    </row>
    <row r="90" spans="1:15" x14ac:dyDescent="0.35">
      <c r="A90" s="88" t="s">
        <v>11</v>
      </c>
      <c r="B90" s="7">
        <f>2026</f>
        <v>2026</v>
      </c>
      <c r="C90" s="7" t="s">
        <v>55</v>
      </c>
      <c r="D90" s="7">
        <v>49</v>
      </c>
      <c r="E90" s="7">
        <v>46075</v>
      </c>
      <c r="F90" s="7">
        <v>46081</v>
      </c>
      <c r="G90" s="8" t="s">
        <v>323</v>
      </c>
      <c r="H90" s="6" t="s">
        <v>16</v>
      </c>
      <c r="I90" s="9">
        <v>1883.53</v>
      </c>
      <c r="J90" s="5" t="s">
        <v>20</v>
      </c>
      <c r="K90" s="10">
        <v>4390</v>
      </c>
      <c r="N90"/>
      <c r="O90"/>
    </row>
    <row r="91" spans="1:15" x14ac:dyDescent="0.35">
      <c r="A91" s="7" t="s">
        <v>11</v>
      </c>
      <c r="B91" s="7">
        <f>2026</f>
        <v>2026</v>
      </c>
      <c r="C91" s="7" t="s">
        <v>55</v>
      </c>
      <c r="D91" s="7">
        <v>40</v>
      </c>
      <c r="E91" s="7">
        <v>46075</v>
      </c>
      <c r="F91" s="7">
        <v>46081</v>
      </c>
      <c r="G91" s="8" t="s">
        <v>323</v>
      </c>
      <c r="H91" s="2" t="s">
        <v>16</v>
      </c>
      <c r="I91" s="9">
        <v>2446.02</v>
      </c>
      <c r="J91" s="5" t="s">
        <v>20</v>
      </c>
      <c r="K91" s="10">
        <v>4390</v>
      </c>
      <c r="N91"/>
      <c r="O91"/>
    </row>
    <row r="92" spans="1:15" x14ac:dyDescent="0.35">
      <c r="A92" s="88" t="s">
        <v>11</v>
      </c>
      <c r="B92" s="7">
        <f>2026</f>
        <v>2026</v>
      </c>
      <c r="C92" s="7" t="s">
        <v>55</v>
      </c>
      <c r="D92" s="7">
        <v>46</v>
      </c>
      <c r="E92" s="7">
        <v>46076</v>
      </c>
      <c r="F92" s="7">
        <v>46081</v>
      </c>
      <c r="G92" s="8" t="s">
        <v>323</v>
      </c>
      <c r="H92" s="6" t="s">
        <v>16</v>
      </c>
      <c r="I92" s="9">
        <v>3037.28</v>
      </c>
      <c r="J92" s="5" t="s">
        <v>20</v>
      </c>
      <c r="K92" s="10">
        <v>4390</v>
      </c>
      <c r="N92"/>
      <c r="O92"/>
    </row>
    <row r="93" spans="1:15" x14ac:dyDescent="0.35">
      <c r="A93" s="7" t="s">
        <v>11</v>
      </c>
      <c r="B93" s="7">
        <f>2026</f>
        <v>2026</v>
      </c>
      <c r="C93" s="7" t="s">
        <v>55</v>
      </c>
      <c r="D93" s="7">
        <v>44</v>
      </c>
      <c r="E93" s="7">
        <v>46075</v>
      </c>
      <c r="F93" s="7">
        <v>46081</v>
      </c>
      <c r="G93" s="8" t="s">
        <v>323</v>
      </c>
      <c r="H93" s="2" t="s">
        <v>16</v>
      </c>
      <c r="I93" s="9">
        <v>2455.54</v>
      </c>
      <c r="J93" s="5" t="s">
        <v>20</v>
      </c>
      <c r="K93" s="10">
        <v>4390</v>
      </c>
      <c r="N93"/>
      <c r="O93"/>
    </row>
    <row r="94" spans="1:15" x14ac:dyDescent="0.35">
      <c r="A94" s="88" t="s">
        <v>11</v>
      </c>
      <c r="B94" s="7">
        <f>2026</f>
        <v>2026</v>
      </c>
      <c r="C94" s="7" t="s">
        <v>55</v>
      </c>
      <c r="D94" s="7">
        <v>54</v>
      </c>
      <c r="E94" s="7">
        <v>46069</v>
      </c>
      <c r="F94" s="7">
        <v>46081</v>
      </c>
      <c r="G94" s="8" t="s">
        <v>323</v>
      </c>
      <c r="H94" s="6" t="s">
        <v>16</v>
      </c>
      <c r="I94" s="9">
        <v>6426</v>
      </c>
      <c r="J94" s="5" t="s">
        <v>17</v>
      </c>
      <c r="K94" s="10">
        <v>4390</v>
      </c>
      <c r="N94"/>
      <c r="O94"/>
    </row>
    <row r="95" spans="1:15" x14ac:dyDescent="0.35">
      <c r="A95" s="7" t="s">
        <v>11</v>
      </c>
      <c r="B95" s="7">
        <f>2026</f>
        <v>2026</v>
      </c>
      <c r="C95" s="7" t="s">
        <v>57</v>
      </c>
      <c r="D95" s="7">
        <v>55</v>
      </c>
      <c r="E95" s="7">
        <v>46072</v>
      </c>
      <c r="F95" s="7">
        <v>46083</v>
      </c>
      <c r="G95" s="8" t="s">
        <v>323</v>
      </c>
      <c r="H95" s="2" t="s">
        <v>16</v>
      </c>
      <c r="I95" s="9">
        <v>5776.13</v>
      </c>
      <c r="J95" s="5" t="s">
        <v>17</v>
      </c>
      <c r="K95" s="10">
        <v>4390</v>
      </c>
      <c r="N95"/>
      <c r="O95"/>
    </row>
    <row r="96" spans="1:15" x14ac:dyDescent="0.35">
      <c r="A96" s="88" t="s">
        <v>11</v>
      </c>
      <c r="B96" s="7">
        <f>2026</f>
        <v>2026</v>
      </c>
      <c r="C96" s="7" t="s">
        <v>57</v>
      </c>
      <c r="D96" s="7">
        <v>45</v>
      </c>
      <c r="E96" s="7">
        <v>46076</v>
      </c>
      <c r="F96" s="7">
        <v>46083</v>
      </c>
      <c r="G96" s="8" t="s">
        <v>323</v>
      </c>
      <c r="H96" s="6" t="s">
        <v>16</v>
      </c>
      <c r="I96" s="9">
        <v>4092.54</v>
      </c>
      <c r="J96" s="5" t="s">
        <v>17</v>
      </c>
      <c r="K96" s="10">
        <v>4390</v>
      </c>
      <c r="N96"/>
      <c r="O96"/>
    </row>
    <row r="97" spans="1:15" x14ac:dyDescent="0.35">
      <c r="A97" s="7" t="s">
        <v>11</v>
      </c>
      <c r="B97" s="7">
        <f>2026</f>
        <v>2026</v>
      </c>
      <c r="C97" s="7" t="s">
        <v>57</v>
      </c>
      <c r="D97" s="7">
        <v>37</v>
      </c>
      <c r="E97" s="7">
        <v>46079</v>
      </c>
      <c r="F97" s="7">
        <v>46084</v>
      </c>
      <c r="G97" s="8" t="s">
        <v>323</v>
      </c>
      <c r="H97" s="2" t="s">
        <v>16</v>
      </c>
      <c r="I97" s="9">
        <v>1506</v>
      </c>
      <c r="J97" s="5" t="s">
        <v>33</v>
      </c>
      <c r="K97" s="10">
        <v>4390</v>
      </c>
      <c r="N97"/>
      <c r="O97"/>
    </row>
    <row r="98" spans="1:15" x14ac:dyDescent="0.35">
      <c r="A98" s="88" t="s">
        <v>11</v>
      </c>
      <c r="B98" s="7">
        <f>2026</f>
        <v>2026</v>
      </c>
      <c r="C98" s="7" t="s">
        <v>57</v>
      </c>
      <c r="D98" s="7">
        <v>47</v>
      </c>
      <c r="E98" s="7">
        <v>46078</v>
      </c>
      <c r="F98" s="7">
        <v>46084</v>
      </c>
      <c r="G98" s="8" t="s">
        <v>323</v>
      </c>
      <c r="H98" s="6" t="s">
        <v>16</v>
      </c>
      <c r="I98" s="9">
        <v>1342.06</v>
      </c>
      <c r="J98" s="5" t="s">
        <v>20</v>
      </c>
      <c r="K98" s="10">
        <v>4390</v>
      </c>
      <c r="N98"/>
      <c r="O98"/>
    </row>
    <row r="99" spans="1:15" x14ac:dyDescent="0.35">
      <c r="A99" s="7" t="s">
        <v>11</v>
      </c>
      <c r="B99" s="7">
        <f>2026</f>
        <v>2026</v>
      </c>
      <c r="C99" s="7" t="s">
        <v>57</v>
      </c>
      <c r="D99" s="7">
        <v>49</v>
      </c>
      <c r="E99" s="7">
        <v>46081</v>
      </c>
      <c r="F99" s="7">
        <v>46085</v>
      </c>
      <c r="G99" s="8" t="s">
        <v>323</v>
      </c>
      <c r="H99" s="2" t="s">
        <v>16</v>
      </c>
      <c r="I99" s="9">
        <v>675.19</v>
      </c>
      <c r="J99" s="5" t="s">
        <v>20</v>
      </c>
      <c r="K99" s="10">
        <v>4390</v>
      </c>
      <c r="N99"/>
      <c r="O99"/>
    </row>
    <row r="100" spans="1:15" x14ac:dyDescent="0.35">
      <c r="A100" s="88" t="s">
        <v>11</v>
      </c>
      <c r="B100" s="7">
        <f>2026</f>
        <v>2026</v>
      </c>
      <c r="C100" s="7" t="s">
        <v>57</v>
      </c>
      <c r="D100" s="7">
        <v>41</v>
      </c>
      <c r="E100" s="7">
        <v>46081</v>
      </c>
      <c r="F100" s="7">
        <v>46085</v>
      </c>
      <c r="G100" s="8" t="s">
        <v>323</v>
      </c>
      <c r="H100" s="6" t="s">
        <v>16</v>
      </c>
      <c r="I100" s="9">
        <v>1699.86</v>
      </c>
      <c r="J100" s="5" t="s">
        <v>20</v>
      </c>
      <c r="K100" s="10">
        <v>4390</v>
      </c>
      <c r="N100"/>
      <c r="O100"/>
    </row>
    <row r="101" spans="1:15" x14ac:dyDescent="0.35">
      <c r="A101" s="7" t="s">
        <v>11</v>
      </c>
      <c r="B101" s="7">
        <f>2026</f>
        <v>2026</v>
      </c>
      <c r="C101" s="7" t="s">
        <v>57</v>
      </c>
      <c r="D101" s="7">
        <v>40</v>
      </c>
      <c r="E101" s="7">
        <v>46081</v>
      </c>
      <c r="F101" s="7">
        <v>46087</v>
      </c>
      <c r="G101" s="8" t="s">
        <v>323</v>
      </c>
      <c r="H101" s="2" t="s">
        <v>16</v>
      </c>
      <c r="I101" s="9">
        <v>2354.08</v>
      </c>
      <c r="J101" s="5" t="s">
        <v>20</v>
      </c>
      <c r="K101" s="10">
        <v>4390</v>
      </c>
      <c r="N101"/>
      <c r="O101"/>
    </row>
    <row r="102" spans="1:15" x14ac:dyDescent="0.35">
      <c r="A102" s="88" t="s">
        <v>11</v>
      </c>
      <c r="B102" s="7">
        <f>2026</f>
        <v>2026</v>
      </c>
      <c r="C102" s="7" t="s">
        <v>57</v>
      </c>
      <c r="D102" s="7">
        <v>46</v>
      </c>
      <c r="E102" s="7">
        <v>46081</v>
      </c>
      <c r="F102" s="7">
        <v>46089</v>
      </c>
      <c r="G102" s="8" t="s">
        <v>323</v>
      </c>
      <c r="H102" s="6" t="s">
        <v>16</v>
      </c>
      <c r="I102" s="9">
        <v>4834.68</v>
      </c>
      <c r="J102" s="5" t="s">
        <v>17</v>
      </c>
      <c r="K102" s="10">
        <v>4390</v>
      </c>
      <c r="N102"/>
      <c r="O102"/>
    </row>
    <row r="103" spans="1:15" x14ac:dyDescent="0.35">
      <c r="A103" s="7" t="s">
        <v>11</v>
      </c>
      <c r="B103" s="7">
        <f>2026</f>
        <v>2026</v>
      </c>
      <c r="C103" s="7" t="s">
        <v>57</v>
      </c>
      <c r="D103" s="7">
        <v>48</v>
      </c>
      <c r="E103" s="7">
        <v>46077</v>
      </c>
      <c r="F103" s="7">
        <v>46062</v>
      </c>
      <c r="G103" s="8" t="s">
        <v>323</v>
      </c>
      <c r="H103" s="2" t="s">
        <v>16</v>
      </c>
      <c r="I103" s="9">
        <v>3712.07</v>
      </c>
      <c r="J103" s="5" t="s">
        <v>17</v>
      </c>
      <c r="K103" s="10">
        <v>4390</v>
      </c>
      <c r="N103"/>
      <c r="O103"/>
    </row>
    <row r="104" spans="1:15" x14ac:dyDescent="0.35">
      <c r="A104" s="88" t="s">
        <v>11</v>
      </c>
      <c r="B104" s="7">
        <f>2026</f>
        <v>2026</v>
      </c>
      <c r="C104" s="7" t="s">
        <v>57</v>
      </c>
      <c r="D104" s="7">
        <v>49</v>
      </c>
      <c r="E104" s="7">
        <v>46085</v>
      </c>
      <c r="F104" s="7">
        <v>46089</v>
      </c>
      <c r="G104" s="8" t="s">
        <v>58</v>
      </c>
      <c r="H104" s="6" t="s">
        <v>16</v>
      </c>
      <c r="I104" s="9">
        <v>748.7</v>
      </c>
      <c r="J104" s="5" t="s">
        <v>33</v>
      </c>
      <c r="K104" s="10">
        <v>3620</v>
      </c>
      <c r="N104"/>
      <c r="O104"/>
    </row>
    <row r="105" spans="1:15" x14ac:dyDescent="0.35">
      <c r="A105" s="7" t="s">
        <v>11</v>
      </c>
      <c r="B105" s="7">
        <f>2026</f>
        <v>2026</v>
      </c>
      <c r="C105" s="7" t="s">
        <v>57</v>
      </c>
      <c r="D105" s="7">
        <v>44</v>
      </c>
      <c r="E105" s="7">
        <v>46081</v>
      </c>
      <c r="F105" s="7">
        <v>46090</v>
      </c>
      <c r="G105" s="8" t="s">
        <v>323</v>
      </c>
      <c r="H105" s="2" t="s">
        <v>16</v>
      </c>
      <c r="I105" s="9">
        <v>5027.3500000000004</v>
      </c>
      <c r="J105" s="5" t="s">
        <v>17</v>
      </c>
      <c r="K105" s="10">
        <v>4390</v>
      </c>
      <c r="N105"/>
      <c r="O105"/>
    </row>
    <row r="106" spans="1:15" x14ac:dyDescent="0.35">
      <c r="A106" s="88" t="s">
        <v>11</v>
      </c>
      <c r="B106" s="7">
        <f>2026</f>
        <v>2026</v>
      </c>
      <c r="C106" s="7" t="s">
        <v>57</v>
      </c>
      <c r="D106" s="7">
        <v>50</v>
      </c>
      <c r="E106" s="7">
        <v>46080</v>
      </c>
      <c r="F106" s="7">
        <v>46090</v>
      </c>
      <c r="G106" s="8" t="s">
        <v>323</v>
      </c>
      <c r="H106" s="6" t="s">
        <v>16</v>
      </c>
      <c r="I106" s="9">
        <v>5107.68</v>
      </c>
      <c r="J106" s="5" t="s">
        <v>17</v>
      </c>
      <c r="K106" s="10">
        <v>4390</v>
      </c>
      <c r="N106"/>
      <c r="O106"/>
    </row>
    <row r="107" spans="1:15" x14ac:dyDescent="0.35">
      <c r="A107" s="7" t="s">
        <v>11</v>
      </c>
      <c r="B107" s="7">
        <f>2026</f>
        <v>2026</v>
      </c>
      <c r="C107" s="7" t="s">
        <v>57</v>
      </c>
      <c r="D107" s="7">
        <v>47</v>
      </c>
      <c r="E107" s="7">
        <v>46084</v>
      </c>
      <c r="F107" s="7">
        <v>46090</v>
      </c>
      <c r="G107" s="8" t="s">
        <v>323</v>
      </c>
      <c r="H107" s="2" t="s">
        <v>16</v>
      </c>
      <c r="I107" s="9">
        <v>1486.88</v>
      </c>
      <c r="J107" s="5" t="s">
        <v>20</v>
      </c>
      <c r="K107" s="10">
        <v>4390</v>
      </c>
      <c r="N107"/>
      <c r="O107"/>
    </row>
    <row r="108" spans="1:15" x14ac:dyDescent="0.35">
      <c r="A108" s="88" t="s">
        <v>11</v>
      </c>
      <c r="B108" s="7">
        <f>2026</f>
        <v>2026</v>
      </c>
      <c r="C108" s="7" t="s">
        <v>57</v>
      </c>
      <c r="D108" s="7">
        <v>49</v>
      </c>
      <c r="E108" s="7">
        <v>46089</v>
      </c>
      <c r="F108" s="7">
        <v>46091</v>
      </c>
      <c r="G108" s="8" t="s">
        <v>58</v>
      </c>
      <c r="H108" s="6" t="s">
        <v>16</v>
      </c>
      <c r="I108" s="9">
        <v>308.89</v>
      </c>
      <c r="J108" s="5" t="s">
        <v>33</v>
      </c>
      <c r="K108" s="10">
        <v>3620</v>
      </c>
      <c r="N108"/>
      <c r="O108"/>
    </row>
    <row r="109" spans="1:15" x14ac:dyDescent="0.35">
      <c r="A109" s="7" t="s">
        <v>11</v>
      </c>
      <c r="B109" s="7">
        <f>2026</f>
        <v>2026</v>
      </c>
      <c r="C109" s="7" t="s">
        <v>57</v>
      </c>
      <c r="D109" s="7">
        <v>53</v>
      </c>
      <c r="E109" s="7">
        <v>46080</v>
      </c>
      <c r="F109" s="7">
        <v>46091</v>
      </c>
      <c r="G109" s="8" t="s">
        <v>323</v>
      </c>
      <c r="H109" s="2" t="s">
        <v>16</v>
      </c>
      <c r="I109" s="9">
        <v>4858.79</v>
      </c>
      <c r="J109" s="5" t="s">
        <v>17</v>
      </c>
      <c r="K109" s="10">
        <v>4390</v>
      </c>
      <c r="N109"/>
      <c r="O109"/>
    </row>
    <row r="110" spans="1:15" x14ac:dyDescent="0.35">
      <c r="A110" s="88" t="s">
        <v>11</v>
      </c>
      <c r="B110" s="7">
        <f>2026</f>
        <v>2026</v>
      </c>
      <c r="C110" s="7" t="s">
        <v>57</v>
      </c>
      <c r="D110" s="7">
        <v>37</v>
      </c>
      <c r="E110" s="7">
        <v>46084</v>
      </c>
      <c r="F110" s="7">
        <v>46092</v>
      </c>
      <c r="G110" s="8" t="s">
        <v>323</v>
      </c>
      <c r="H110" s="6" t="s">
        <v>16</v>
      </c>
      <c r="I110" s="9">
        <v>1907</v>
      </c>
      <c r="J110" s="5" t="s">
        <v>20</v>
      </c>
      <c r="K110" s="10">
        <v>4390</v>
      </c>
      <c r="N110"/>
      <c r="O110"/>
    </row>
    <row r="111" spans="1:15" x14ac:dyDescent="0.35">
      <c r="A111" s="7" t="s">
        <v>11</v>
      </c>
      <c r="B111" s="7">
        <f>2026</f>
        <v>2026</v>
      </c>
      <c r="C111" s="7" t="s">
        <v>57</v>
      </c>
      <c r="D111" s="7">
        <v>54</v>
      </c>
      <c r="E111" s="7">
        <v>46081</v>
      </c>
      <c r="F111" s="7">
        <v>46094</v>
      </c>
      <c r="G111" s="8" t="s">
        <v>323</v>
      </c>
      <c r="H111" s="2" t="s">
        <v>16</v>
      </c>
      <c r="I111" s="9">
        <v>6511.5</v>
      </c>
      <c r="J111" s="5" t="s">
        <v>17</v>
      </c>
      <c r="K111" s="10">
        <v>4390</v>
      </c>
      <c r="N111"/>
      <c r="O111"/>
    </row>
    <row r="112" spans="1:15" x14ac:dyDescent="0.35">
      <c r="A112" s="88" t="s">
        <v>11</v>
      </c>
      <c r="B112" s="7">
        <f>2026</f>
        <v>2026</v>
      </c>
      <c r="C112" s="7" t="s">
        <v>57</v>
      </c>
      <c r="D112" s="7">
        <v>36</v>
      </c>
      <c r="E112" s="7">
        <v>46084</v>
      </c>
      <c r="F112" s="7">
        <v>46094</v>
      </c>
      <c r="G112" s="8" t="s">
        <v>58</v>
      </c>
      <c r="H112" s="6" t="s">
        <v>16</v>
      </c>
      <c r="I112" s="9">
        <v>3027.42</v>
      </c>
      <c r="J112" s="5" t="s">
        <v>20</v>
      </c>
      <c r="K112" s="10">
        <v>3620</v>
      </c>
      <c r="N112"/>
      <c r="O112"/>
    </row>
    <row r="113" spans="1:15" x14ac:dyDescent="0.35">
      <c r="A113" s="7" t="s">
        <v>11</v>
      </c>
      <c r="B113" s="7">
        <f>2026</f>
        <v>2026</v>
      </c>
      <c r="C113" s="7" t="s">
        <v>57</v>
      </c>
      <c r="D113" s="7">
        <v>45</v>
      </c>
      <c r="E113" s="7">
        <v>46083</v>
      </c>
      <c r="F113" s="7">
        <v>46095</v>
      </c>
      <c r="G113" s="8" t="s">
        <v>323</v>
      </c>
      <c r="H113" s="2" t="s">
        <v>16</v>
      </c>
      <c r="I113" s="9">
        <v>7532</v>
      </c>
      <c r="J113" s="5" t="s">
        <v>17</v>
      </c>
      <c r="K113" s="10">
        <v>4390</v>
      </c>
      <c r="N113"/>
      <c r="O113"/>
    </row>
    <row r="114" spans="1:15" x14ac:dyDescent="0.35">
      <c r="A114" s="88" t="s">
        <v>11</v>
      </c>
      <c r="B114" s="7">
        <f>2026</f>
        <v>2026</v>
      </c>
      <c r="C114" s="7" t="s">
        <v>57</v>
      </c>
      <c r="D114" s="7">
        <v>49</v>
      </c>
      <c r="E114" s="7">
        <v>46091</v>
      </c>
      <c r="F114" s="7">
        <v>46096</v>
      </c>
      <c r="G114" s="8" t="s">
        <v>323</v>
      </c>
      <c r="H114" s="6" t="s">
        <v>16</v>
      </c>
      <c r="I114" s="9">
        <v>788.93</v>
      </c>
      <c r="J114" s="5" t="s">
        <v>33</v>
      </c>
      <c r="K114" s="10">
        <v>4390</v>
      </c>
      <c r="N114"/>
      <c r="O114"/>
    </row>
    <row r="115" spans="1:15" x14ac:dyDescent="0.35">
      <c r="A115" s="7" t="s">
        <v>11</v>
      </c>
      <c r="B115" s="7">
        <f>2026</f>
        <v>2026</v>
      </c>
      <c r="C115" s="7" t="s">
        <v>57</v>
      </c>
      <c r="D115" s="7">
        <v>53</v>
      </c>
      <c r="E115" s="7">
        <v>46091</v>
      </c>
      <c r="F115" s="7">
        <v>46096</v>
      </c>
      <c r="G115" s="8" t="s">
        <v>323</v>
      </c>
      <c r="H115" s="2" t="s">
        <v>16</v>
      </c>
      <c r="I115" s="9">
        <v>1912.83</v>
      </c>
      <c r="J115" s="5" t="s">
        <v>20</v>
      </c>
      <c r="K115" s="10">
        <v>4390</v>
      </c>
      <c r="N115"/>
      <c r="O115"/>
    </row>
    <row r="116" spans="1:15" x14ac:dyDescent="0.35">
      <c r="A116" s="88" t="s">
        <v>11</v>
      </c>
      <c r="B116" s="7">
        <f>2026</f>
        <v>2026</v>
      </c>
      <c r="C116" s="7" t="s">
        <v>57</v>
      </c>
      <c r="D116" s="7">
        <v>47</v>
      </c>
      <c r="E116" s="7">
        <v>46090</v>
      </c>
      <c r="F116" s="7">
        <v>46099</v>
      </c>
      <c r="G116" s="8" t="s">
        <v>323</v>
      </c>
      <c r="H116" s="6" t="s">
        <v>16</v>
      </c>
      <c r="I116" s="9">
        <v>1906.85</v>
      </c>
      <c r="J116" s="5" t="s">
        <v>20</v>
      </c>
      <c r="K116" s="10">
        <v>4390</v>
      </c>
      <c r="N116"/>
      <c r="O116"/>
    </row>
    <row r="117" spans="1:15" x14ac:dyDescent="0.35">
      <c r="A117" s="7" t="s">
        <v>11</v>
      </c>
      <c r="B117" s="7">
        <f>2026</f>
        <v>2026</v>
      </c>
      <c r="C117" s="7" t="s">
        <v>57</v>
      </c>
      <c r="D117" s="7">
        <v>41</v>
      </c>
      <c r="E117" s="7">
        <v>46085</v>
      </c>
      <c r="F117" s="7">
        <v>46098</v>
      </c>
      <c r="G117" s="8" t="s">
        <v>58</v>
      </c>
      <c r="H117" s="2" t="s">
        <v>16</v>
      </c>
      <c r="I117" s="9">
        <v>5714.79</v>
      </c>
      <c r="J117" s="5" t="s">
        <v>17</v>
      </c>
      <c r="K117" s="10">
        <v>3620</v>
      </c>
      <c r="N117"/>
      <c r="O117"/>
    </row>
    <row r="118" spans="1:15" x14ac:dyDescent="0.35">
      <c r="A118" s="88" t="s">
        <v>11</v>
      </c>
      <c r="B118" s="7">
        <f>2026</f>
        <v>2026</v>
      </c>
      <c r="C118" s="7" t="s">
        <v>57</v>
      </c>
      <c r="D118" s="7">
        <v>55</v>
      </c>
      <c r="E118" s="7">
        <v>46083</v>
      </c>
      <c r="F118" s="7">
        <v>46099</v>
      </c>
      <c r="G118" s="8" t="s">
        <v>323</v>
      </c>
      <c r="H118" s="6" t="s">
        <v>16</v>
      </c>
      <c r="I118" s="9">
        <v>8094.12</v>
      </c>
      <c r="J118" s="5" t="s">
        <v>17</v>
      </c>
      <c r="K118" s="10">
        <v>4390</v>
      </c>
      <c r="N118"/>
      <c r="O118"/>
    </row>
    <row r="119" spans="1:15" x14ac:dyDescent="0.35">
      <c r="A119" s="7" t="s">
        <v>11</v>
      </c>
      <c r="B119" s="7">
        <f>2026</f>
        <v>2026</v>
      </c>
      <c r="C119" s="7" t="s">
        <v>57</v>
      </c>
      <c r="D119" s="7">
        <v>46</v>
      </c>
      <c r="E119" s="7">
        <v>46089</v>
      </c>
      <c r="F119" s="7">
        <v>46099</v>
      </c>
      <c r="G119" s="8" t="s">
        <v>323</v>
      </c>
      <c r="H119" s="2" t="s">
        <v>16</v>
      </c>
      <c r="I119" s="9">
        <v>3960</v>
      </c>
      <c r="J119" s="5" t="s">
        <v>17</v>
      </c>
      <c r="K119" s="10">
        <v>4390</v>
      </c>
      <c r="N119"/>
      <c r="O119"/>
    </row>
    <row r="120" spans="1:15" x14ac:dyDescent="0.35">
      <c r="A120" s="88" t="s">
        <v>11</v>
      </c>
      <c r="B120" s="7">
        <f>2026</f>
        <v>2026</v>
      </c>
      <c r="C120" s="7" t="s">
        <v>57</v>
      </c>
      <c r="D120" s="7">
        <v>44</v>
      </c>
      <c r="E120" s="7">
        <v>46090</v>
      </c>
      <c r="F120" s="7">
        <v>46099</v>
      </c>
      <c r="G120" s="8" t="s">
        <v>323</v>
      </c>
      <c r="H120" s="6" t="s">
        <v>16</v>
      </c>
      <c r="I120" s="9">
        <v>3602.98</v>
      </c>
      <c r="J120" s="5" t="s">
        <v>17</v>
      </c>
      <c r="K120" s="10">
        <v>4390</v>
      </c>
      <c r="N120"/>
      <c r="O120"/>
    </row>
    <row r="121" spans="1:15" x14ac:dyDescent="0.35">
      <c r="A121" s="7" t="s">
        <v>11</v>
      </c>
      <c r="B121" s="7">
        <f>2026</f>
        <v>2026</v>
      </c>
      <c r="C121" s="7" t="s">
        <v>57</v>
      </c>
      <c r="D121" s="7">
        <v>40</v>
      </c>
      <c r="E121" s="7">
        <v>46087</v>
      </c>
      <c r="F121" s="7">
        <v>46100</v>
      </c>
      <c r="G121" s="8" t="s">
        <v>58</v>
      </c>
      <c r="H121" s="2" t="s">
        <v>16</v>
      </c>
      <c r="I121" s="9">
        <v>3443.16</v>
      </c>
      <c r="J121" s="5" t="s">
        <v>20</v>
      </c>
      <c r="K121" s="10">
        <v>3620</v>
      </c>
      <c r="N121"/>
      <c r="O121"/>
    </row>
    <row r="122" spans="1:15" x14ac:dyDescent="0.35">
      <c r="A122" s="88" t="s">
        <v>11</v>
      </c>
      <c r="B122" s="7">
        <f>2026</f>
        <v>2026</v>
      </c>
      <c r="C122" s="7" t="s">
        <v>57</v>
      </c>
      <c r="D122" s="7">
        <v>50</v>
      </c>
      <c r="E122" s="7">
        <v>46090</v>
      </c>
      <c r="F122" s="7">
        <v>46101</v>
      </c>
      <c r="G122" s="8" t="s">
        <v>58</v>
      </c>
      <c r="H122" s="6" t="s">
        <v>16</v>
      </c>
      <c r="I122" s="9">
        <v>4370.74</v>
      </c>
      <c r="J122" s="5" t="s">
        <v>17</v>
      </c>
      <c r="K122" s="10">
        <v>3620</v>
      </c>
      <c r="N122"/>
      <c r="O122"/>
    </row>
    <row r="123" spans="1:15" x14ac:dyDescent="0.35">
      <c r="A123" s="7" t="s">
        <v>11</v>
      </c>
      <c r="B123" s="7">
        <f>2026</f>
        <v>2026</v>
      </c>
      <c r="C123" s="7" t="s">
        <v>57</v>
      </c>
      <c r="D123" s="7">
        <v>36</v>
      </c>
      <c r="E123" s="7">
        <v>46094</v>
      </c>
      <c r="F123" s="7">
        <v>46101</v>
      </c>
      <c r="G123" s="8" t="s">
        <v>323</v>
      </c>
      <c r="H123" s="2" t="s">
        <v>16</v>
      </c>
      <c r="I123" s="9">
        <v>3103.75</v>
      </c>
      <c r="J123" s="5" t="s">
        <v>20</v>
      </c>
      <c r="K123" s="10">
        <v>4390</v>
      </c>
      <c r="N123"/>
      <c r="O123"/>
    </row>
    <row r="124" spans="1:15" x14ac:dyDescent="0.35">
      <c r="A124" s="88" t="s">
        <v>11</v>
      </c>
      <c r="B124" s="7">
        <f>2026</f>
        <v>2026</v>
      </c>
      <c r="C124" s="7" t="s">
        <v>57</v>
      </c>
      <c r="D124" s="7">
        <v>49</v>
      </c>
      <c r="E124" s="7">
        <v>46096</v>
      </c>
      <c r="F124" s="7">
        <v>46101</v>
      </c>
      <c r="G124" s="8" t="s">
        <v>323</v>
      </c>
      <c r="H124" s="6" t="s">
        <v>16</v>
      </c>
      <c r="I124" s="9">
        <v>720.34</v>
      </c>
      <c r="J124" s="5" t="s">
        <v>20</v>
      </c>
      <c r="K124" s="10">
        <v>4390</v>
      </c>
      <c r="N124"/>
      <c r="O124"/>
    </row>
    <row r="125" spans="1:15" x14ac:dyDescent="0.35">
      <c r="A125" s="7" t="s">
        <v>11</v>
      </c>
      <c r="B125" s="7">
        <f>2026</f>
        <v>2026</v>
      </c>
      <c r="C125" s="7" t="s">
        <v>57</v>
      </c>
      <c r="D125" s="7">
        <v>54</v>
      </c>
      <c r="E125" s="7">
        <v>46094</v>
      </c>
      <c r="F125" s="7">
        <v>46103</v>
      </c>
      <c r="G125" s="8" t="s">
        <v>58</v>
      </c>
      <c r="H125" s="2" t="s">
        <v>16</v>
      </c>
      <c r="I125" s="9">
        <v>3594.92</v>
      </c>
      <c r="J125" s="5" t="s">
        <v>17</v>
      </c>
      <c r="K125" s="10">
        <v>3620</v>
      </c>
      <c r="N125"/>
      <c r="O125"/>
    </row>
    <row r="126" spans="1:15" x14ac:dyDescent="0.35">
      <c r="A126" s="88" t="s">
        <v>11</v>
      </c>
      <c r="B126" s="7">
        <f>2026</f>
        <v>2026</v>
      </c>
      <c r="C126" s="7" t="s">
        <v>57</v>
      </c>
      <c r="D126" s="7">
        <v>47</v>
      </c>
      <c r="E126" s="7">
        <v>46099</v>
      </c>
      <c r="F126" s="7">
        <v>46104</v>
      </c>
      <c r="G126" s="8" t="s">
        <v>323</v>
      </c>
      <c r="H126" s="6" t="s">
        <v>16</v>
      </c>
      <c r="I126" s="9">
        <v>977.71</v>
      </c>
      <c r="J126" s="5" t="s">
        <v>20</v>
      </c>
      <c r="K126" s="10">
        <v>4390</v>
      </c>
      <c r="N126"/>
      <c r="O126"/>
    </row>
    <row r="127" spans="1:15" x14ac:dyDescent="0.35">
      <c r="A127" s="7" t="s">
        <v>11</v>
      </c>
      <c r="B127" s="7">
        <f>2026</f>
        <v>2026</v>
      </c>
      <c r="C127" s="7" t="s">
        <v>57</v>
      </c>
      <c r="D127" s="7">
        <v>45</v>
      </c>
      <c r="E127" s="7">
        <v>46095</v>
      </c>
      <c r="F127" s="7">
        <v>46105</v>
      </c>
      <c r="G127" s="8" t="s">
        <v>323</v>
      </c>
      <c r="H127" s="2" t="s">
        <v>16</v>
      </c>
      <c r="I127" s="9">
        <v>5495</v>
      </c>
      <c r="J127" s="5" t="s">
        <v>17</v>
      </c>
      <c r="K127" s="10">
        <v>4390</v>
      </c>
      <c r="N127"/>
      <c r="O127"/>
    </row>
    <row r="128" spans="1:15" x14ac:dyDescent="0.35">
      <c r="A128" s="88" t="s">
        <v>11</v>
      </c>
      <c r="B128" s="7">
        <f>2026</f>
        <v>2026</v>
      </c>
      <c r="C128" s="7" t="s">
        <v>57</v>
      </c>
      <c r="D128" s="7">
        <v>47</v>
      </c>
      <c r="E128" s="7">
        <v>46099</v>
      </c>
      <c r="F128" s="7">
        <v>46104</v>
      </c>
      <c r="G128" s="8" t="s">
        <v>323</v>
      </c>
      <c r="H128" s="6" t="s">
        <v>16</v>
      </c>
      <c r="I128" s="9">
        <v>977.71</v>
      </c>
      <c r="J128" s="5" t="s">
        <v>20</v>
      </c>
      <c r="K128" s="10">
        <v>4390</v>
      </c>
      <c r="N128"/>
      <c r="O128"/>
    </row>
    <row r="129" spans="1:15" x14ac:dyDescent="0.35">
      <c r="A129" s="7" t="s">
        <v>11</v>
      </c>
      <c r="B129" s="7">
        <f>2026</f>
        <v>2026</v>
      </c>
      <c r="C129" s="7" t="s">
        <v>57</v>
      </c>
      <c r="D129" s="7">
        <v>46</v>
      </c>
      <c r="E129" s="7">
        <v>46099</v>
      </c>
      <c r="F129" s="7">
        <v>46106</v>
      </c>
      <c r="G129" s="8" t="s">
        <v>323</v>
      </c>
      <c r="H129" s="2" t="s">
        <v>16</v>
      </c>
      <c r="I129" s="9">
        <v>4026.28</v>
      </c>
      <c r="J129" s="5" t="s">
        <v>17</v>
      </c>
      <c r="K129" s="10">
        <v>4390</v>
      </c>
      <c r="N129"/>
      <c r="O129"/>
    </row>
    <row r="130" spans="1:15" x14ac:dyDescent="0.35">
      <c r="A130" s="88" t="s">
        <v>11</v>
      </c>
      <c r="B130" s="7">
        <f>2026</f>
        <v>2026</v>
      </c>
      <c r="C130" s="7" t="s">
        <v>57</v>
      </c>
      <c r="D130" s="7">
        <v>37</v>
      </c>
      <c r="E130" s="7">
        <v>46092</v>
      </c>
      <c r="F130" s="7">
        <v>46108</v>
      </c>
      <c r="G130" s="8" t="s">
        <v>323</v>
      </c>
      <c r="H130" s="6" t="s">
        <v>16</v>
      </c>
      <c r="I130" s="9">
        <v>6391</v>
      </c>
      <c r="J130" s="5" t="s">
        <v>17</v>
      </c>
      <c r="K130" s="10">
        <v>4390</v>
      </c>
      <c r="N130"/>
      <c r="O130"/>
    </row>
    <row r="131" spans="1:15" x14ac:dyDescent="0.35">
      <c r="A131" s="7" t="s">
        <v>11</v>
      </c>
      <c r="B131" s="7">
        <f>2026</f>
        <v>2026</v>
      </c>
      <c r="C131" s="7" t="s">
        <v>57</v>
      </c>
      <c r="D131" s="7">
        <v>41</v>
      </c>
      <c r="E131" s="7">
        <v>46098</v>
      </c>
      <c r="F131" s="7">
        <v>46108</v>
      </c>
      <c r="G131" s="8" t="s">
        <v>323</v>
      </c>
      <c r="H131" s="2" t="s">
        <v>16</v>
      </c>
      <c r="I131" s="9">
        <v>1884.35</v>
      </c>
      <c r="J131" s="5" t="s">
        <v>20</v>
      </c>
      <c r="K131" s="10">
        <v>4390</v>
      </c>
      <c r="N131"/>
      <c r="O131"/>
    </row>
    <row r="132" spans="1:15" x14ac:dyDescent="0.35">
      <c r="A132" s="88" t="s">
        <v>11</v>
      </c>
      <c r="B132" s="7">
        <f>2026</f>
        <v>2026</v>
      </c>
      <c r="C132" s="7" t="s">
        <v>57</v>
      </c>
      <c r="D132" s="7">
        <v>44</v>
      </c>
      <c r="E132" s="7">
        <v>46099</v>
      </c>
      <c r="F132" s="7">
        <v>46110</v>
      </c>
      <c r="G132" s="8" t="s">
        <v>323</v>
      </c>
      <c r="H132" s="6" t="s">
        <v>16</v>
      </c>
      <c r="I132" s="9">
        <v>4690.76</v>
      </c>
      <c r="J132" s="5" t="s">
        <v>17</v>
      </c>
      <c r="K132" s="10">
        <v>4390</v>
      </c>
      <c r="N132"/>
      <c r="O132"/>
    </row>
    <row r="133" spans="1:15" x14ac:dyDescent="0.35">
      <c r="A133" s="7" t="s">
        <v>11</v>
      </c>
      <c r="B133" s="7">
        <f>2026</f>
        <v>2026</v>
      </c>
      <c r="C133" s="7" t="s">
        <v>57</v>
      </c>
      <c r="D133" s="7">
        <v>48</v>
      </c>
      <c r="E133" s="7">
        <v>46090</v>
      </c>
      <c r="F133" s="7">
        <v>46110</v>
      </c>
      <c r="G133" s="8" t="s">
        <v>323</v>
      </c>
      <c r="H133" s="2" t="s">
        <v>16</v>
      </c>
      <c r="I133" s="9">
        <v>6016.7</v>
      </c>
      <c r="J133" s="5" t="s">
        <v>17</v>
      </c>
      <c r="K133" s="10">
        <v>4390</v>
      </c>
      <c r="N133"/>
      <c r="O133"/>
    </row>
    <row r="134" spans="1:15" x14ac:dyDescent="0.35">
      <c r="A134" s="88" t="s">
        <v>11</v>
      </c>
      <c r="B134" s="7">
        <f>2026</f>
        <v>2026</v>
      </c>
      <c r="C134" s="7" t="s">
        <v>57</v>
      </c>
      <c r="D134" s="7">
        <v>55</v>
      </c>
      <c r="E134" s="7">
        <v>46099</v>
      </c>
      <c r="F134" s="7">
        <v>46111</v>
      </c>
      <c r="G134" s="8" t="s">
        <v>58</v>
      </c>
      <c r="H134" s="6" t="s">
        <v>16</v>
      </c>
      <c r="I134" s="9">
        <v>5650.04</v>
      </c>
      <c r="J134" s="5" t="s">
        <v>17</v>
      </c>
      <c r="K134" s="10">
        <v>3620</v>
      </c>
      <c r="N134"/>
      <c r="O134"/>
    </row>
    <row r="135" spans="1:15" x14ac:dyDescent="0.35">
      <c r="A135" s="7" t="s">
        <v>11</v>
      </c>
      <c r="B135" s="7">
        <f>2026</f>
        <v>2026</v>
      </c>
      <c r="C135" s="7" t="s">
        <v>57</v>
      </c>
      <c r="D135" s="7">
        <v>47</v>
      </c>
      <c r="E135" s="7">
        <v>46104</v>
      </c>
      <c r="F135" s="7">
        <v>46111</v>
      </c>
      <c r="G135" s="8" t="s">
        <v>58</v>
      </c>
      <c r="H135" s="2" t="s">
        <v>16</v>
      </c>
      <c r="I135" s="9">
        <v>1649.89</v>
      </c>
      <c r="J135" s="5" t="s">
        <v>20</v>
      </c>
      <c r="K135" s="10">
        <v>3620</v>
      </c>
      <c r="N135"/>
      <c r="O135"/>
    </row>
    <row r="136" spans="1:15" x14ac:dyDescent="0.35">
      <c r="A136" s="88" t="s">
        <v>11</v>
      </c>
      <c r="B136" s="7">
        <f>2026</f>
        <v>2026</v>
      </c>
      <c r="C136" s="7" t="s">
        <v>57</v>
      </c>
      <c r="D136" s="7">
        <v>45</v>
      </c>
      <c r="E136" s="7">
        <v>46105</v>
      </c>
      <c r="F136" s="7">
        <v>46112</v>
      </c>
      <c r="G136" s="8" t="s">
        <v>58</v>
      </c>
      <c r="H136" s="6" t="s">
        <v>16</v>
      </c>
      <c r="I136" s="9">
        <v>4515.5</v>
      </c>
      <c r="J136" s="5" t="s">
        <v>17</v>
      </c>
      <c r="K136" s="10">
        <v>3620</v>
      </c>
      <c r="N136"/>
      <c r="O136"/>
    </row>
    <row r="137" spans="1:15" x14ac:dyDescent="0.35">
      <c r="A137" s="7" t="s">
        <v>11</v>
      </c>
      <c r="B137" s="7">
        <f>2026</f>
        <v>2026</v>
      </c>
      <c r="C137" s="7" t="s">
        <v>57</v>
      </c>
      <c r="D137" s="7">
        <v>54</v>
      </c>
      <c r="E137" s="7">
        <v>46103</v>
      </c>
      <c r="F137" s="7">
        <v>46111</v>
      </c>
      <c r="G137" s="8" t="s">
        <v>58</v>
      </c>
      <c r="H137" s="2" t="s">
        <v>16</v>
      </c>
      <c r="I137" s="9">
        <v>3815.43</v>
      </c>
      <c r="J137" s="5" t="s">
        <v>17</v>
      </c>
      <c r="K137" s="10">
        <v>3620</v>
      </c>
      <c r="N137"/>
      <c r="O137"/>
    </row>
    <row r="138" spans="1:15" x14ac:dyDescent="0.35">
      <c r="A138" s="88" t="s">
        <v>11</v>
      </c>
      <c r="B138" s="7">
        <f>2026</f>
        <v>2026</v>
      </c>
      <c r="C138" s="7" t="s">
        <v>57</v>
      </c>
      <c r="D138" s="7">
        <v>49</v>
      </c>
      <c r="E138" s="7">
        <v>46101</v>
      </c>
      <c r="F138" s="7">
        <v>46111</v>
      </c>
      <c r="G138" s="8" t="s">
        <v>59</v>
      </c>
      <c r="H138" s="6" t="s">
        <v>16</v>
      </c>
      <c r="I138" s="9">
        <v>1150.01</v>
      </c>
      <c r="J138" s="5" t="s">
        <v>33</v>
      </c>
      <c r="K138" s="10">
        <v>5760</v>
      </c>
      <c r="N138"/>
      <c r="O138"/>
    </row>
    <row r="139" spans="1:15" x14ac:dyDescent="0.35">
      <c r="A139" s="7" t="s">
        <v>11</v>
      </c>
      <c r="B139" s="7">
        <f>2026</f>
        <v>2026</v>
      </c>
      <c r="C139" s="7" t="s">
        <v>57</v>
      </c>
      <c r="D139" s="7">
        <v>50</v>
      </c>
      <c r="E139" s="7">
        <v>46101</v>
      </c>
      <c r="F139" s="7">
        <v>46112</v>
      </c>
      <c r="G139" s="8" t="s">
        <v>323</v>
      </c>
      <c r="H139" s="2" t="s">
        <v>16</v>
      </c>
      <c r="I139" s="9">
        <v>5192.43</v>
      </c>
      <c r="J139" s="5" t="s">
        <v>17</v>
      </c>
      <c r="K139" s="10">
        <v>4390</v>
      </c>
      <c r="N139"/>
      <c r="O139"/>
    </row>
    <row r="140" spans="1:15" x14ac:dyDescent="0.35">
      <c r="A140" s="88" t="s">
        <v>11</v>
      </c>
      <c r="B140" s="7">
        <f>2026</f>
        <v>2026</v>
      </c>
      <c r="C140" s="7" t="s">
        <v>60</v>
      </c>
      <c r="D140" s="7">
        <v>48</v>
      </c>
      <c r="E140" s="7">
        <v>46110</v>
      </c>
      <c r="F140" s="7">
        <v>46113</v>
      </c>
      <c r="G140" s="8" t="s">
        <v>323</v>
      </c>
      <c r="H140" s="6" t="s">
        <v>16</v>
      </c>
      <c r="I140" s="9">
        <v>1187</v>
      </c>
      <c r="J140" s="5" t="s">
        <v>20</v>
      </c>
      <c r="K140" s="10">
        <v>4390</v>
      </c>
      <c r="N140"/>
      <c r="O140"/>
    </row>
    <row r="141" spans="1:15" x14ac:dyDescent="0.35">
      <c r="A141" s="7" t="s">
        <v>11</v>
      </c>
      <c r="B141" s="7">
        <f>2026</f>
        <v>2026</v>
      </c>
      <c r="C141" s="7" t="s">
        <v>60</v>
      </c>
      <c r="D141" s="7">
        <v>46</v>
      </c>
      <c r="E141" s="7">
        <v>46106</v>
      </c>
      <c r="F141" s="7">
        <v>46114</v>
      </c>
      <c r="G141" s="8" t="s">
        <v>323</v>
      </c>
      <c r="H141" s="2" t="s">
        <v>16</v>
      </c>
      <c r="I141" s="9">
        <v>4922.46</v>
      </c>
      <c r="J141" s="5" t="s">
        <v>17</v>
      </c>
      <c r="K141" s="10">
        <v>4390</v>
      </c>
      <c r="N141"/>
      <c r="O141"/>
    </row>
    <row r="142" spans="1:15" x14ac:dyDescent="0.35">
      <c r="A142" s="88" t="s">
        <v>11</v>
      </c>
      <c r="B142" s="7">
        <f>2026</f>
        <v>2026</v>
      </c>
      <c r="C142" s="7" t="s">
        <v>60</v>
      </c>
      <c r="D142" s="7">
        <v>36</v>
      </c>
      <c r="E142" s="7">
        <v>46101</v>
      </c>
      <c r="F142" s="7">
        <v>46115</v>
      </c>
      <c r="G142" s="8" t="s">
        <v>323</v>
      </c>
      <c r="H142" s="6" t="s">
        <v>16</v>
      </c>
      <c r="I142" s="9">
        <v>2917.17</v>
      </c>
      <c r="J142" s="5" t="s">
        <v>33</v>
      </c>
      <c r="K142" s="10">
        <v>4390</v>
      </c>
      <c r="N142"/>
      <c r="O142"/>
    </row>
    <row r="143" spans="1:15" x14ac:dyDescent="0.35">
      <c r="A143" s="7" t="s">
        <v>11</v>
      </c>
      <c r="B143" s="7">
        <f>2026</f>
        <v>2026</v>
      </c>
      <c r="C143" s="7" t="s">
        <v>60</v>
      </c>
      <c r="D143" s="7">
        <v>40</v>
      </c>
      <c r="E143" s="7">
        <v>46100</v>
      </c>
      <c r="F143" s="7">
        <v>46117</v>
      </c>
      <c r="G143" s="8" t="s">
        <v>323</v>
      </c>
      <c r="H143" s="2" t="s">
        <v>16</v>
      </c>
      <c r="I143" s="9">
        <v>7421.81</v>
      </c>
      <c r="J143" s="5" t="s">
        <v>17</v>
      </c>
      <c r="K143" s="10">
        <v>4390</v>
      </c>
      <c r="N143"/>
      <c r="O143"/>
    </row>
    <row r="144" spans="1:15" x14ac:dyDescent="0.35">
      <c r="A144" s="88" t="s">
        <v>11</v>
      </c>
      <c r="B144" s="7">
        <f>2026</f>
        <v>2026</v>
      </c>
      <c r="C144" s="7" t="s">
        <v>60</v>
      </c>
      <c r="D144" s="7">
        <v>41</v>
      </c>
      <c r="E144" s="7">
        <v>46108</v>
      </c>
      <c r="F144" s="7">
        <v>46117</v>
      </c>
      <c r="G144" s="8" t="s">
        <v>58</v>
      </c>
      <c r="H144" s="6" t="s">
        <v>16</v>
      </c>
      <c r="I144" s="9">
        <v>4413.8900000000003</v>
      </c>
      <c r="J144" s="5" t="s">
        <v>17</v>
      </c>
      <c r="K144" s="10">
        <v>3620</v>
      </c>
      <c r="N144"/>
      <c r="O144"/>
    </row>
    <row r="145" spans="1:15" x14ac:dyDescent="0.35">
      <c r="A145" s="7" t="s">
        <v>11</v>
      </c>
      <c r="B145" s="7">
        <f>2026</f>
        <v>2026</v>
      </c>
      <c r="C145" s="7" t="s">
        <v>60</v>
      </c>
      <c r="D145" s="7">
        <v>44</v>
      </c>
      <c r="E145" s="7">
        <v>46110</v>
      </c>
      <c r="F145" s="7">
        <v>46118</v>
      </c>
      <c r="G145" s="8" t="s">
        <v>323</v>
      </c>
      <c r="H145" s="2" t="s">
        <v>16</v>
      </c>
      <c r="I145" s="9">
        <v>3224.86</v>
      </c>
      <c r="J145" s="5" t="s">
        <v>20</v>
      </c>
      <c r="K145" s="10">
        <v>4390</v>
      </c>
      <c r="N145"/>
      <c r="O145"/>
    </row>
    <row r="146" spans="1:15" x14ac:dyDescent="0.35">
      <c r="A146" s="88" t="s">
        <v>11</v>
      </c>
      <c r="B146" s="7">
        <f>2026</f>
        <v>2026</v>
      </c>
      <c r="C146" s="7" t="s">
        <v>60</v>
      </c>
      <c r="D146" s="7">
        <v>37</v>
      </c>
      <c r="E146" s="7">
        <v>46108</v>
      </c>
      <c r="F146" s="7">
        <v>46119</v>
      </c>
      <c r="G146" s="8" t="s">
        <v>323</v>
      </c>
      <c r="H146" s="6" t="s">
        <v>16</v>
      </c>
      <c r="I146" s="9">
        <v>5288.03</v>
      </c>
      <c r="J146" s="5" t="s">
        <v>17</v>
      </c>
      <c r="K146" s="10">
        <v>4390</v>
      </c>
      <c r="N146"/>
      <c r="O146"/>
    </row>
    <row r="147" spans="1:15" x14ac:dyDescent="0.35">
      <c r="A147" s="7" t="s">
        <v>11</v>
      </c>
      <c r="B147" s="7">
        <f>2026</f>
        <v>2026</v>
      </c>
      <c r="C147" s="7" t="s">
        <v>60</v>
      </c>
      <c r="D147" s="7">
        <v>49</v>
      </c>
      <c r="E147" s="7">
        <v>46111</v>
      </c>
      <c r="F147" s="7">
        <v>46121</v>
      </c>
      <c r="G147" s="8" t="s">
        <v>59</v>
      </c>
      <c r="H147" s="2" t="s">
        <v>16</v>
      </c>
      <c r="I147" s="9">
        <v>1997.65</v>
      </c>
      <c r="J147" s="5" t="s">
        <v>20</v>
      </c>
      <c r="K147" s="10">
        <v>5760</v>
      </c>
      <c r="N147"/>
      <c r="O147"/>
    </row>
    <row r="148" spans="1:15" x14ac:dyDescent="0.35">
      <c r="A148" s="88" t="s">
        <v>11</v>
      </c>
      <c r="B148" s="7">
        <f>2026</f>
        <v>2026</v>
      </c>
      <c r="C148" s="7" t="s">
        <v>60</v>
      </c>
      <c r="D148" s="7">
        <v>55</v>
      </c>
      <c r="E148" s="7">
        <v>46111</v>
      </c>
      <c r="F148" s="7">
        <v>42470</v>
      </c>
      <c r="G148" s="8" t="s">
        <v>58</v>
      </c>
      <c r="H148" s="6" t="s">
        <v>16</v>
      </c>
      <c r="I148" s="9">
        <v>5215.05</v>
      </c>
      <c r="J148" s="5" t="s">
        <v>17</v>
      </c>
      <c r="K148" s="10">
        <v>3620</v>
      </c>
      <c r="N148"/>
      <c r="O148"/>
    </row>
    <row r="149" spans="1:15" x14ac:dyDescent="0.35">
      <c r="A149" s="7" t="s">
        <v>11</v>
      </c>
      <c r="B149" s="7">
        <f>2026</f>
        <v>2026</v>
      </c>
      <c r="C149" s="7" t="s">
        <v>60</v>
      </c>
      <c r="D149" s="7">
        <v>45</v>
      </c>
      <c r="E149" s="7">
        <v>46112</v>
      </c>
      <c r="F149" s="7">
        <v>46122</v>
      </c>
      <c r="G149" s="8" t="s">
        <v>323</v>
      </c>
      <c r="H149" s="2" t="s">
        <v>16</v>
      </c>
      <c r="I149" s="9">
        <v>7515</v>
      </c>
      <c r="J149" s="5" t="s">
        <v>17</v>
      </c>
      <c r="K149" s="10">
        <v>4390</v>
      </c>
      <c r="N149"/>
      <c r="O149"/>
    </row>
    <row r="150" spans="1:15" x14ac:dyDescent="0.35">
      <c r="A150" s="88" t="s">
        <v>11</v>
      </c>
      <c r="B150" s="7">
        <f>2026</f>
        <v>2026</v>
      </c>
      <c r="C150" s="7" t="s">
        <v>60</v>
      </c>
      <c r="D150" s="7">
        <v>50</v>
      </c>
      <c r="E150" s="7">
        <v>46112</v>
      </c>
      <c r="F150" s="7">
        <v>46122</v>
      </c>
      <c r="G150" s="8" t="s">
        <v>323</v>
      </c>
      <c r="H150" s="6" t="s">
        <v>16</v>
      </c>
      <c r="I150" s="9">
        <v>2989.86</v>
      </c>
      <c r="J150" s="5" t="s">
        <v>20</v>
      </c>
      <c r="K150" s="10">
        <v>4390</v>
      </c>
      <c r="N150"/>
      <c r="O150"/>
    </row>
    <row r="151" spans="1:15" x14ac:dyDescent="0.35">
      <c r="A151" s="7" t="s">
        <v>11</v>
      </c>
      <c r="B151" s="7">
        <f>2026</f>
        <v>2026</v>
      </c>
      <c r="C151" s="7" t="s">
        <v>60</v>
      </c>
      <c r="D151" s="7">
        <v>48</v>
      </c>
      <c r="E151" s="7">
        <v>46113</v>
      </c>
      <c r="F151" s="7">
        <v>46123</v>
      </c>
      <c r="G151" s="8" t="s">
        <v>323</v>
      </c>
      <c r="H151" s="2" t="s">
        <v>16</v>
      </c>
      <c r="I151" s="9">
        <v>4687.88</v>
      </c>
      <c r="J151" s="5" t="s">
        <v>17</v>
      </c>
      <c r="K151" s="10">
        <v>4390</v>
      </c>
      <c r="N151"/>
      <c r="O151"/>
    </row>
    <row r="152" spans="1:15" x14ac:dyDescent="0.35">
      <c r="A152" s="88" t="s">
        <v>11</v>
      </c>
      <c r="B152" s="7">
        <f>2026</f>
        <v>2026</v>
      </c>
      <c r="C152" s="7" t="s">
        <v>60</v>
      </c>
      <c r="D152" s="7">
        <v>40</v>
      </c>
      <c r="E152" s="7">
        <v>46117</v>
      </c>
      <c r="F152" s="7">
        <v>46123</v>
      </c>
      <c r="G152" s="8" t="s">
        <v>323</v>
      </c>
      <c r="H152" s="6" t="s">
        <v>16</v>
      </c>
      <c r="I152" s="9">
        <v>3924</v>
      </c>
      <c r="J152" s="5" t="s">
        <v>17</v>
      </c>
      <c r="K152" s="10">
        <v>4390</v>
      </c>
      <c r="N152"/>
      <c r="O152"/>
    </row>
    <row r="153" spans="1:15" x14ac:dyDescent="0.35">
      <c r="A153" s="7" t="s">
        <v>11</v>
      </c>
      <c r="B153" s="7">
        <f>2026</f>
        <v>2026</v>
      </c>
      <c r="C153" s="7" t="s">
        <v>60</v>
      </c>
      <c r="D153" s="7">
        <v>47</v>
      </c>
      <c r="E153" s="7">
        <v>46111</v>
      </c>
      <c r="F153" s="7">
        <v>46123</v>
      </c>
      <c r="G153" s="8" t="s">
        <v>323</v>
      </c>
      <c r="H153" s="2" t="s">
        <v>16</v>
      </c>
      <c r="I153" s="9">
        <v>2585.36</v>
      </c>
      <c r="J153" s="5" t="s">
        <v>33</v>
      </c>
      <c r="K153" s="10">
        <v>4390</v>
      </c>
      <c r="N153"/>
      <c r="O153"/>
    </row>
    <row r="154" spans="1:15" x14ac:dyDescent="0.35">
      <c r="A154" s="88" t="s">
        <v>11</v>
      </c>
      <c r="B154" s="7">
        <f>2026</f>
        <v>2026</v>
      </c>
      <c r="C154" s="7" t="s">
        <v>60</v>
      </c>
      <c r="D154" s="7">
        <v>46</v>
      </c>
      <c r="E154" s="7">
        <v>46114</v>
      </c>
      <c r="F154" s="7">
        <v>46125</v>
      </c>
      <c r="G154" s="8" t="s">
        <v>323</v>
      </c>
      <c r="H154" s="6" t="s">
        <v>16</v>
      </c>
      <c r="I154" s="9">
        <v>7369.95</v>
      </c>
      <c r="J154" s="5" t="s">
        <v>17</v>
      </c>
      <c r="K154" s="10">
        <v>4390</v>
      </c>
      <c r="N154"/>
      <c r="O154"/>
    </row>
    <row r="155" spans="1:15" x14ac:dyDescent="0.35">
      <c r="A155" s="7" t="s">
        <v>11</v>
      </c>
      <c r="B155" s="7">
        <f>2026</f>
        <v>2026</v>
      </c>
      <c r="C155" s="7" t="s">
        <v>60</v>
      </c>
      <c r="D155" s="7">
        <v>36</v>
      </c>
      <c r="E155" s="7">
        <v>46115</v>
      </c>
      <c r="F155" s="7">
        <v>46125</v>
      </c>
      <c r="G155" s="8" t="s">
        <v>323</v>
      </c>
      <c r="H155" s="2" t="s">
        <v>16</v>
      </c>
      <c r="I155" s="9">
        <v>3452.23</v>
      </c>
      <c r="J155" s="5" t="s">
        <v>20</v>
      </c>
      <c r="K155" s="10">
        <v>4390</v>
      </c>
      <c r="N155"/>
      <c r="O155"/>
    </row>
    <row r="156" spans="1:15" x14ac:dyDescent="0.35">
      <c r="A156" s="88" t="s">
        <v>11</v>
      </c>
      <c r="B156" s="7">
        <f>2026</f>
        <v>2026</v>
      </c>
      <c r="C156" s="7" t="s">
        <v>60</v>
      </c>
      <c r="D156" s="7">
        <v>47</v>
      </c>
      <c r="E156" s="7">
        <v>46123</v>
      </c>
      <c r="F156" s="7">
        <v>46126</v>
      </c>
      <c r="G156" s="8" t="s">
        <v>58</v>
      </c>
      <c r="H156" s="6" t="s">
        <v>16</v>
      </c>
      <c r="I156" s="9">
        <v>894.96</v>
      </c>
      <c r="J156" s="5" t="s">
        <v>20</v>
      </c>
      <c r="K156" s="10">
        <v>3620</v>
      </c>
      <c r="N156"/>
      <c r="O156"/>
    </row>
    <row r="157" spans="1:15" x14ac:dyDescent="0.35">
      <c r="A157" s="7" t="s">
        <v>11</v>
      </c>
      <c r="B157" s="7">
        <f>2026</f>
        <v>2026</v>
      </c>
      <c r="C157" s="7" t="s">
        <v>60</v>
      </c>
      <c r="D157" s="7">
        <v>54</v>
      </c>
      <c r="E157" s="7">
        <v>46111</v>
      </c>
      <c r="F157" s="7">
        <v>46126</v>
      </c>
      <c r="G157" s="8" t="s">
        <v>58</v>
      </c>
      <c r="H157" s="2" t="s">
        <v>16</v>
      </c>
      <c r="I157" s="9">
        <v>5615.2</v>
      </c>
      <c r="J157" s="5" t="s">
        <v>17</v>
      </c>
      <c r="K157" s="10">
        <v>3620</v>
      </c>
      <c r="N157"/>
      <c r="O157"/>
    </row>
    <row r="158" spans="1:15" x14ac:dyDescent="0.35">
      <c r="A158" s="88" t="s">
        <v>11</v>
      </c>
      <c r="B158" s="7">
        <f>2026</f>
        <v>2026</v>
      </c>
      <c r="C158" s="7" t="s">
        <v>60</v>
      </c>
      <c r="D158" s="7">
        <v>48</v>
      </c>
      <c r="E158" s="7">
        <v>46123</v>
      </c>
      <c r="F158" s="7">
        <v>46128</v>
      </c>
      <c r="G158" s="8" t="s">
        <v>58</v>
      </c>
      <c r="H158" s="6" t="s">
        <v>16</v>
      </c>
      <c r="I158" s="9">
        <v>2179.6</v>
      </c>
      <c r="J158" s="5" t="s">
        <v>33</v>
      </c>
      <c r="K158" s="10">
        <v>3620</v>
      </c>
      <c r="N158"/>
      <c r="O158"/>
    </row>
    <row r="159" spans="1:15" x14ac:dyDescent="0.35">
      <c r="A159" s="7" t="s">
        <v>11</v>
      </c>
      <c r="B159" s="7">
        <f>2026</f>
        <v>2026</v>
      </c>
      <c r="C159" s="7" t="s">
        <v>60</v>
      </c>
      <c r="D159" s="7">
        <v>44</v>
      </c>
      <c r="E159" s="7">
        <v>46118</v>
      </c>
      <c r="F159" s="7">
        <v>46128</v>
      </c>
      <c r="G159" s="8" t="s">
        <v>323</v>
      </c>
      <c r="H159" s="2" t="s">
        <v>16</v>
      </c>
      <c r="I159" s="9">
        <v>3868.09</v>
      </c>
      <c r="J159" s="5" t="s">
        <v>17</v>
      </c>
      <c r="K159" s="10">
        <v>4390</v>
      </c>
      <c r="N159"/>
      <c r="O159"/>
    </row>
    <row r="160" spans="1:15" x14ac:dyDescent="0.35">
      <c r="A160" s="88" t="s">
        <v>11</v>
      </c>
      <c r="B160" s="7">
        <f>2026</f>
        <v>2026</v>
      </c>
      <c r="C160" s="7" t="s">
        <v>60</v>
      </c>
      <c r="D160" s="7">
        <v>36</v>
      </c>
      <c r="E160" s="7">
        <v>46125</v>
      </c>
      <c r="F160" s="7">
        <v>46130</v>
      </c>
      <c r="G160" s="8" t="s">
        <v>58</v>
      </c>
      <c r="H160" s="6" t="s">
        <v>16</v>
      </c>
      <c r="I160" s="9">
        <v>2296.2800000000002</v>
      </c>
      <c r="J160" s="5" t="s">
        <v>20</v>
      </c>
      <c r="K160" s="10">
        <v>3620</v>
      </c>
      <c r="N160"/>
      <c r="O160"/>
    </row>
    <row r="161" spans="1:15" x14ac:dyDescent="0.35">
      <c r="A161" s="7" t="s">
        <v>11</v>
      </c>
      <c r="B161" s="7">
        <f>2026</f>
        <v>2026</v>
      </c>
      <c r="C161" s="7" t="s">
        <v>60</v>
      </c>
      <c r="D161" s="7">
        <v>41</v>
      </c>
      <c r="E161" s="7">
        <v>46117</v>
      </c>
      <c r="F161" s="7">
        <v>46129</v>
      </c>
      <c r="G161" s="8" t="s">
        <v>323</v>
      </c>
      <c r="H161" s="2" t="s">
        <v>16</v>
      </c>
      <c r="I161" s="9">
        <v>6286.16</v>
      </c>
      <c r="J161" s="5" t="s">
        <v>17</v>
      </c>
      <c r="K161" s="10">
        <v>4390</v>
      </c>
      <c r="N161"/>
      <c r="O161"/>
    </row>
    <row r="162" spans="1:15" x14ac:dyDescent="0.35">
      <c r="A162" s="88" t="s">
        <v>11</v>
      </c>
      <c r="B162" s="7">
        <f>2026</f>
        <v>2026</v>
      </c>
      <c r="C162" s="7" t="s">
        <v>60</v>
      </c>
      <c r="D162" s="7">
        <v>53</v>
      </c>
      <c r="E162" s="7">
        <v>46096</v>
      </c>
      <c r="F162" s="7">
        <v>46130</v>
      </c>
      <c r="G162" s="8" t="s">
        <v>323</v>
      </c>
      <c r="H162" s="6" t="s">
        <v>16</v>
      </c>
      <c r="I162" s="9">
        <v>3334.96</v>
      </c>
      <c r="J162" s="5" t="s">
        <v>20</v>
      </c>
      <c r="K162" s="10">
        <v>4390</v>
      </c>
      <c r="N162"/>
      <c r="O162"/>
    </row>
    <row r="163" spans="1:15" x14ac:dyDescent="0.35">
      <c r="A163" s="7" t="s">
        <v>11</v>
      </c>
      <c r="B163" s="7">
        <f>2026</f>
        <v>2026</v>
      </c>
      <c r="C163" s="7" t="s">
        <v>60</v>
      </c>
      <c r="D163" s="7">
        <v>50</v>
      </c>
      <c r="E163" s="7">
        <v>46122</v>
      </c>
      <c r="F163" s="7">
        <v>46131</v>
      </c>
      <c r="G163" s="8" t="s">
        <v>58</v>
      </c>
      <c r="H163" s="2" t="s">
        <v>16</v>
      </c>
      <c r="I163" s="9">
        <v>3483.05</v>
      </c>
      <c r="J163" s="5" t="s">
        <v>20</v>
      </c>
      <c r="K163" s="10">
        <v>3620</v>
      </c>
      <c r="N163"/>
      <c r="O163"/>
    </row>
    <row r="164" spans="1:15" x14ac:dyDescent="0.35">
      <c r="A164" s="88" t="s">
        <v>11</v>
      </c>
      <c r="B164" s="7">
        <f>2026</f>
        <v>2026</v>
      </c>
      <c r="C164" s="7" t="s">
        <v>60</v>
      </c>
      <c r="D164" s="7">
        <v>49</v>
      </c>
      <c r="E164" s="7">
        <v>46121</v>
      </c>
      <c r="F164" s="7">
        <v>46132</v>
      </c>
      <c r="G164" s="8" t="s">
        <v>59</v>
      </c>
      <c r="H164" s="6" t="s">
        <v>16</v>
      </c>
      <c r="I164" s="9">
        <v>2228.7199999999998</v>
      </c>
      <c r="J164" s="5" t="s">
        <v>20</v>
      </c>
      <c r="K164" s="10">
        <v>5760</v>
      </c>
      <c r="N164"/>
      <c r="O164"/>
    </row>
    <row r="165" spans="1:15" x14ac:dyDescent="0.35">
      <c r="A165" s="7" t="s">
        <v>11</v>
      </c>
      <c r="B165" s="7">
        <f>2026</f>
        <v>2026</v>
      </c>
      <c r="C165" s="7" t="s">
        <v>60</v>
      </c>
      <c r="D165" s="7">
        <v>46</v>
      </c>
      <c r="E165" s="7">
        <v>46125</v>
      </c>
      <c r="F165" s="7">
        <v>46132</v>
      </c>
      <c r="G165" s="8" t="s">
        <v>58</v>
      </c>
      <c r="H165" s="2" t="s">
        <v>16</v>
      </c>
      <c r="I165" s="9">
        <v>4761.79</v>
      </c>
      <c r="J165" s="5" t="s">
        <v>17</v>
      </c>
      <c r="K165" s="10">
        <v>3620</v>
      </c>
      <c r="N165"/>
      <c r="O165"/>
    </row>
    <row r="166" spans="1:15" x14ac:dyDescent="0.35">
      <c r="A166" s="88" t="s">
        <v>11</v>
      </c>
      <c r="B166" s="7">
        <f>2026</f>
        <v>2026</v>
      </c>
      <c r="C166" s="7" t="s">
        <v>60</v>
      </c>
      <c r="D166" s="7">
        <v>40</v>
      </c>
      <c r="E166" s="7">
        <v>46123</v>
      </c>
      <c r="F166" s="7">
        <v>46133</v>
      </c>
      <c r="G166" s="8" t="s">
        <v>323</v>
      </c>
      <c r="H166" s="6" t="s">
        <v>16</v>
      </c>
      <c r="I166" s="9">
        <v>6207.7</v>
      </c>
      <c r="J166" s="5" t="s">
        <v>17</v>
      </c>
      <c r="K166" s="10">
        <v>4390</v>
      </c>
      <c r="N166"/>
      <c r="O166"/>
    </row>
    <row r="167" spans="1:15" x14ac:dyDescent="0.35">
      <c r="A167" s="7" t="s">
        <v>11</v>
      </c>
      <c r="B167" s="7">
        <f>2026</f>
        <v>2026</v>
      </c>
      <c r="C167" s="7" t="s">
        <v>60</v>
      </c>
      <c r="D167" s="7">
        <v>45</v>
      </c>
      <c r="E167" s="7">
        <v>46122</v>
      </c>
      <c r="F167" s="7">
        <v>46134</v>
      </c>
      <c r="G167" s="8" t="s">
        <v>323</v>
      </c>
      <c r="H167" s="2" t="s">
        <v>16</v>
      </c>
      <c r="I167" s="9">
        <v>8789.2800000000007</v>
      </c>
      <c r="J167" s="5" t="s">
        <v>17</v>
      </c>
      <c r="K167" s="10">
        <v>4390</v>
      </c>
      <c r="N167"/>
      <c r="O167"/>
    </row>
    <row r="168" spans="1:15" x14ac:dyDescent="0.35">
      <c r="A168" s="88" t="s">
        <v>11</v>
      </c>
      <c r="B168" s="7">
        <f>2026</f>
        <v>2026</v>
      </c>
      <c r="C168" s="7" t="s">
        <v>60</v>
      </c>
      <c r="D168" s="7">
        <v>37</v>
      </c>
      <c r="E168" s="7">
        <v>46119</v>
      </c>
      <c r="F168" s="7">
        <v>46134</v>
      </c>
      <c r="G168" s="8" t="s">
        <v>323</v>
      </c>
      <c r="H168" s="6" t="s">
        <v>16</v>
      </c>
      <c r="I168" s="9">
        <v>5146</v>
      </c>
      <c r="J168" s="5" t="s">
        <v>17</v>
      </c>
      <c r="K168" s="10">
        <v>4390</v>
      </c>
      <c r="N168"/>
      <c r="O168"/>
    </row>
    <row r="169" spans="1:15" x14ac:dyDescent="0.35">
      <c r="A169" s="7" t="s">
        <v>11</v>
      </c>
      <c r="B169" s="7">
        <f>2026</f>
        <v>2026</v>
      </c>
      <c r="C169" s="7" t="s">
        <v>60</v>
      </c>
      <c r="D169" s="7">
        <v>53</v>
      </c>
      <c r="E169" s="7">
        <v>46130</v>
      </c>
      <c r="F169" s="7">
        <v>46134</v>
      </c>
      <c r="G169" s="8" t="s">
        <v>323</v>
      </c>
      <c r="H169" s="2" t="s">
        <v>16</v>
      </c>
      <c r="I169" s="9">
        <v>1790.95</v>
      </c>
      <c r="J169" s="5" t="s">
        <v>33</v>
      </c>
      <c r="K169" s="10">
        <v>4390</v>
      </c>
      <c r="N169"/>
      <c r="O169"/>
    </row>
    <row r="170" spans="1:15" x14ac:dyDescent="0.35">
      <c r="A170" s="88" t="s">
        <v>11</v>
      </c>
      <c r="B170" s="7">
        <f>2026</f>
        <v>2026</v>
      </c>
      <c r="C170" s="7" t="s">
        <v>60</v>
      </c>
      <c r="D170" s="7">
        <v>36</v>
      </c>
      <c r="E170" s="7">
        <v>46130</v>
      </c>
      <c r="F170" s="7">
        <v>46136</v>
      </c>
      <c r="G170" s="8" t="s">
        <v>58</v>
      </c>
      <c r="H170" s="6" t="s">
        <v>16</v>
      </c>
      <c r="I170" s="9">
        <v>2304.59</v>
      </c>
      <c r="J170" s="5" t="s">
        <v>33</v>
      </c>
      <c r="K170" s="10">
        <v>3620</v>
      </c>
      <c r="N170"/>
      <c r="O170"/>
    </row>
    <row r="171" spans="1:15" x14ac:dyDescent="0.35">
      <c r="A171" s="7" t="s">
        <v>11</v>
      </c>
      <c r="B171" s="7">
        <f>2026</f>
        <v>2026</v>
      </c>
      <c r="C171" s="7" t="s">
        <v>60</v>
      </c>
      <c r="D171" s="7">
        <v>41</v>
      </c>
      <c r="E171" s="7">
        <v>46129</v>
      </c>
      <c r="F171" s="7">
        <v>46136</v>
      </c>
      <c r="G171" s="8" t="s">
        <v>323</v>
      </c>
      <c r="H171" s="2" t="s">
        <v>16</v>
      </c>
      <c r="I171" s="9">
        <v>3147.48</v>
      </c>
      <c r="J171" s="5" t="s">
        <v>20</v>
      </c>
      <c r="K171" s="10">
        <v>4390</v>
      </c>
      <c r="N171"/>
      <c r="O171"/>
    </row>
    <row r="172" spans="1:15" x14ac:dyDescent="0.35">
      <c r="A172" s="88" t="s">
        <v>11</v>
      </c>
      <c r="B172" s="7">
        <f>2026</f>
        <v>2026</v>
      </c>
      <c r="C172" s="7" t="s">
        <v>60</v>
      </c>
      <c r="D172" s="7">
        <v>48</v>
      </c>
      <c r="E172" s="7">
        <v>46128</v>
      </c>
      <c r="F172" s="7">
        <v>46136</v>
      </c>
      <c r="G172" s="8" t="s">
        <v>58</v>
      </c>
      <c r="H172" s="6" t="s">
        <v>16</v>
      </c>
      <c r="I172" s="9">
        <v>4679.32</v>
      </c>
      <c r="J172" s="5" t="s">
        <v>17</v>
      </c>
      <c r="K172" s="10">
        <v>3620</v>
      </c>
      <c r="N172"/>
      <c r="O172"/>
    </row>
    <row r="173" spans="1:15" x14ac:dyDescent="0.35">
      <c r="A173" s="7" t="s">
        <v>11</v>
      </c>
      <c r="B173" s="7">
        <f>2026</f>
        <v>2026</v>
      </c>
      <c r="C173" s="7" t="s">
        <v>60</v>
      </c>
      <c r="D173" s="7">
        <v>49</v>
      </c>
      <c r="E173" s="7">
        <v>46132</v>
      </c>
      <c r="F173" s="7">
        <v>46138</v>
      </c>
      <c r="G173" s="8" t="s">
        <v>59</v>
      </c>
      <c r="H173" s="2" t="s">
        <v>16</v>
      </c>
      <c r="I173" s="9">
        <v>957.67</v>
      </c>
      <c r="J173" s="5" t="s">
        <v>20</v>
      </c>
      <c r="K173" s="10">
        <v>5760</v>
      </c>
      <c r="N173"/>
      <c r="O173"/>
    </row>
    <row r="174" spans="1:15" x14ac:dyDescent="0.35">
      <c r="A174" s="88" t="s">
        <v>11</v>
      </c>
      <c r="B174" s="7">
        <f>2026</f>
        <v>2026</v>
      </c>
      <c r="C174" s="7" t="s">
        <v>60</v>
      </c>
      <c r="D174" s="7">
        <v>47</v>
      </c>
      <c r="E174" s="7">
        <v>46126</v>
      </c>
      <c r="F174" s="7">
        <v>46138</v>
      </c>
      <c r="G174" s="8" t="s">
        <v>323</v>
      </c>
      <c r="H174" s="6" t="s">
        <v>16</v>
      </c>
      <c r="I174" s="9">
        <v>3146.21</v>
      </c>
      <c r="J174" s="5" t="s">
        <v>33</v>
      </c>
      <c r="K174" s="10">
        <v>4390</v>
      </c>
      <c r="N174"/>
      <c r="O174"/>
    </row>
    <row r="175" spans="1:15" x14ac:dyDescent="0.35">
      <c r="A175" s="7" t="s">
        <v>11</v>
      </c>
      <c r="B175" s="7">
        <f>2026</f>
        <v>2026</v>
      </c>
      <c r="C175" s="7" t="s">
        <v>60</v>
      </c>
      <c r="D175" s="7">
        <v>44</v>
      </c>
      <c r="E175" s="7">
        <v>46128</v>
      </c>
      <c r="F175" s="7">
        <v>46138</v>
      </c>
      <c r="G175" s="8" t="s">
        <v>323</v>
      </c>
      <c r="H175" s="2" t="s">
        <v>16</v>
      </c>
      <c r="I175" s="9">
        <v>4057.81</v>
      </c>
      <c r="J175" s="5" t="s">
        <v>17</v>
      </c>
      <c r="K175" s="10">
        <v>4390</v>
      </c>
      <c r="N175"/>
      <c r="O175"/>
    </row>
    <row r="176" spans="1:15" x14ac:dyDescent="0.35">
      <c r="A176" s="88" t="s">
        <v>11</v>
      </c>
      <c r="B176" s="7">
        <f>2026</f>
        <v>2026</v>
      </c>
      <c r="C176" s="7" t="s">
        <v>60</v>
      </c>
      <c r="D176" s="7">
        <v>55</v>
      </c>
      <c r="E176" s="7">
        <v>46122</v>
      </c>
      <c r="F176" s="7">
        <v>46138</v>
      </c>
      <c r="G176" s="8" t="s">
        <v>323</v>
      </c>
      <c r="H176" s="6" t="s">
        <v>16</v>
      </c>
      <c r="I176" s="9">
        <v>11198.81</v>
      </c>
      <c r="J176" s="5" t="s">
        <v>17</v>
      </c>
      <c r="K176" s="10">
        <v>4390</v>
      </c>
      <c r="N176"/>
      <c r="O176"/>
    </row>
    <row r="177" spans="1:15" x14ac:dyDescent="0.35">
      <c r="A177" s="7" t="s">
        <v>11</v>
      </c>
      <c r="B177" s="7">
        <f>2026</f>
        <v>2026</v>
      </c>
      <c r="C177" s="7" t="s">
        <v>60</v>
      </c>
      <c r="D177" s="7">
        <v>40</v>
      </c>
      <c r="E177" s="7">
        <v>46133</v>
      </c>
      <c r="F177" s="7">
        <v>46139</v>
      </c>
      <c r="G177" s="8" t="s">
        <v>323</v>
      </c>
      <c r="H177" s="2" t="s">
        <v>16</v>
      </c>
      <c r="I177" s="9">
        <v>3372.85</v>
      </c>
      <c r="J177" s="5" t="s">
        <v>20</v>
      </c>
      <c r="K177" s="10">
        <v>4390</v>
      </c>
      <c r="N177"/>
      <c r="O177"/>
    </row>
    <row r="178" spans="1:15" x14ac:dyDescent="0.35">
      <c r="A178" s="88" t="s">
        <v>11</v>
      </c>
      <c r="B178" s="7">
        <f>2026</f>
        <v>2026</v>
      </c>
      <c r="C178" s="7" t="s">
        <v>60</v>
      </c>
      <c r="D178" s="7">
        <v>45</v>
      </c>
      <c r="E178" s="7">
        <v>46134</v>
      </c>
      <c r="F178" s="7">
        <v>46140</v>
      </c>
      <c r="G178" s="8" t="s">
        <v>58</v>
      </c>
      <c r="H178" s="6" t="s">
        <v>16</v>
      </c>
      <c r="I178" s="9">
        <v>4196.33</v>
      </c>
      <c r="J178" s="5" t="s">
        <v>17</v>
      </c>
      <c r="K178" s="10">
        <v>3620</v>
      </c>
      <c r="N178"/>
      <c r="O178"/>
    </row>
    <row r="179" spans="1:15" x14ac:dyDescent="0.35">
      <c r="A179" s="7" t="s">
        <v>11</v>
      </c>
      <c r="B179" s="7">
        <f>2026</f>
        <v>2026</v>
      </c>
      <c r="C179" s="7" t="s">
        <v>60</v>
      </c>
      <c r="D179" s="7">
        <v>54</v>
      </c>
      <c r="E179" s="7">
        <v>46126</v>
      </c>
      <c r="F179" s="7">
        <v>46140</v>
      </c>
      <c r="G179" s="8" t="s">
        <v>323</v>
      </c>
      <c r="H179" s="2" t="s">
        <v>16</v>
      </c>
      <c r="I179" s="9">
        <v>5537.7</v>
      </c>
      <c r="J179" s="5" t="s">
        <v>17</v>
      </c>
      <c r="K179" s="10">
        <v>4390</v>
      </c>
      <c r="N179"/>
      <c r="O179"/>
    </row>
    <row r="180" spans="1:15" x14ac:dyDescent="0.35">
      <c r="A180" s="88" t="s">
        <v>11</v>
      </c>
      <c r="B180" s="7">
        <f>2026</f>
        <v>2026</v>
      </c>
      <c r="C180" s="7" t="s">
        <v>60</v>
      </c>
      <c r="D180" s="7">
        <v>50</v>
      </c>
      <c r="E180" s="7">
        <v>46131</v>
      </c>
      <c r="F180" s="7">
        <v>46140</v>
      </c>
      <c r="G180" s="8" t="s">
        <v>323</v>
      </c>
      <c r="H180" s="6" t="s">
        <v>16</v>
      </c>
      <c r="I180" s="9">
        <v>3720.01</v>
      </c>
      <c r="J180" s="5" t="s">
        <v>17</v>
      </c>
      <c r="K180" s="10">
        <v>4390</v>
      </c>
      <c r="N180"/>
      <c r="O180"/>
    </row>
    <row r="181" spans="1:15" x14ac:dyDescent="0.35">
      <c r="A181" s="7" t="s">
        <v>11</v>
      </c>
      <c r="B181" s="7">
        <f>2026</f>
        <v>2026</v>
      </c>
      <c r="C181" s="7" t="s">
        <v>60</v>
      </c>
      <c r="D181" s="7">
        <v>46</v>
      </c>
      <c r="E181" s="7">
        <v>46132</v>
      </c>
      <c r="F181" s="7">
        <v>46140</v>
      </c>
      <c r="G181" s="8" t="s">
        <v>323</v>
      </c>
      <c r="H181" s="2" t="s">
        <v>16</v>
      </c>
      <c r="I181" s="9">
        <v>5997.67</v>
      </c>
      <c r="J181" s="5" t="s">
        <v>17</v>
      </c>
      <c r="K181" s="10">
        <v>4390</v>
      </c>
      <c r="N181"/>
      <c r="O181"/>
    </row>
    <row r="182" spans="1:15" x14ac:dyDescent="0.35">
      <c r="A182" s="88" t="s">
        <v>11</v>
      </c>
      <c r="B182" s="7">
        <f>2026</f>
        <v>2026</v>
      </c>
      <c r="C182" s="7" t="s">
        <v>60</v>
      </c>
      <c r="D182" s="7">
        <v>53</v>
      </c>
      <c r="E182" s="7">
        <v>46134</v>
      </c>
      <c r="F182" s="7">
        <v>46142</v>
      </c>
      <c r="G182" s="8" t="s">
        <v>323</v>
      </c>
      <c r="H182" s="6" t="s">
        <v>16</v>
      </c>
      <c r="I182" s="9">
        <v>4222.42</v>
      </c>
      <c r="J182" s="5" t="s">
        <v>17</v>
      </c>
      <c r="K182" s="10">
        <v>4390</v>
      </c>
      <c r="N182"/>
      <c r="O182"/>
    </row>
    <row r="183" spans="1:15" x14ac:dyDescent="0.35">
      <c r="A183" s="7" t="s">
        <v>11</v>
      </c>
      <c r="B183" s="7">
        <f>2026</f>
        <v>2026</v>
      </c>
      <c r="C183" s="7" t="s">
        <v>60</v>
      </c>
      <c r="D183" s="7">
        <v>49</v>
      </c>
      <c r="E183" s="7">
        <v>46138</v>
      </c>
      <c r="F183" s="7">
        <v>46142</v>
      </c>
      <c r="G183" s="8" t="s">
        <v>59</v>
      </c>
      <c r="H183" s="2" t="s">
        <v>16</v>
      </c>
      <c r="I183" s="9">
        <v>1140.75</v>
      </c>
      <c r="J183" s="5" t="s">
        <v>33</v>
      </c>
      <c r="K183" s="10">
        <v>5760</v>
      </c>
      <c r="N183"/>
      <c r="O183"/>
    </row>
    <row r="184" spans="1:15" x14ac:dyDescent="0.35">
      <c r="A184" s="88" t="s">
        <v>11</v>
      </c>
      <c r="B184" s="7">
        <f>2026</f>
        <v>2026</v>
      </c>
      <c r="C184" s="7" t="s">
        <v>61</v>
      </c>
      <c r="D184" s="7">
        <v>47</v>
      </c>
      <c r="E184" s="7">
        <v>46138</v>
      </c>
      <c r="F184" s="7">
        <v>46143</v>
      </c>
      <c r="G184" s="8" t="s">
        <v>58</v>
      </c>
      <c r="H184" s="6" t="s">
        <v>16</v>
      </c>
      <c r="I184" s="9">
        <v>772.41</v>
      </c>
      <c r="J184" s="5" t="s">
        <v>33</v>
      </c>
      <c r="K184" s="10">
        <v>3620</v>
      </c>
      <c r="N184"/>
      <c r="O184"/>
    </row>
    <row r="185" spans="1:15" x14ac:dyDescent="0.35">
      <c r="A185" s="7" t="s">
        <v>11</v>
      </c>
      <c r="B185" s="7">
        <f>2026</f>
        <v>2026</v>
      </c>
      <c r="C185" s="7" t="s">
        <v>61</v>
      </c>
      <c r="D185" s="7">
        <v>37</v>
      </c>
      <c r="E185" s="7">
        <v>46103</v>
      </c>
      <c r="F185" s="7">
        <v>46144</v>
      </c>
      <c r="G185" s="8" t="s">
        <v>58</v>
      </c>
      <c r="H185" s="2" t="s">
        <v>16</v>
      </c>
      <c r="I185" s="9">
        <v>5958</v>
      </c>
      <c r="J185" s="5" t="s">
        <v>17</v>
      </c>
      <c r="K185" s="10">
        <v>3620</v>
      </c>
      <c r="N185"/>
      <c r="O185"/>
    </row>
    <row r="186" spans="1:15" x14ac:dyDescent="0.35">
      <c r="A186" s="88" t="s">
        <v>11</v>
      </c>
      <c r="B186" s="7">
        <f>2026</f>
        <v>2026</v>
      </c>
      <c r="C186" s="7" t="s">
        <v>61</v>
      </c>
      <c r="D186" s="7">
        <v>40</v>
      </c>
      <c r="E186" s="7">
        <v>46108</v>
      </c>
      <c r="F186" s="7">
        <v>46146</v>
      </c>
      <c r="G186" s="8" t="s">
        <v>323</v>
      </c>
      <c r="H186" s="6" t="s">
        <v>16</v>
      </c>
      <c r="I186" s="9">
        <v>3578.97</v>
      </c>
      <c r="J186" s="5" t="s">
        <v>17</v>
      </c>
      <c r="K186" s="10">
        <v>4390</v>
      </c>
      <c r="N186"/>
      <c r="O186"/>
    </row>
    <row r="187" spans="1:15" x14ac:dyDescent="0.35">
      <c r="A187" s="7" t="s">
        <v>11</v>
      </c>
      <c r="B187" s="7">
        <f>2026</f>
        <v>2026</v>
      </c>
      <c r="C187" s="7" t="s">
        <v>61</v>
      </c>
      <c r="D187" s="7">
        <v>41</v>
      </c>
      <c r="E187" s="7">
        <v>46105</v>
      </c>
      <c r="F187" s="7">
        <v>46147</v>
      </c>
      <c r="G187" s="8" t="s">
        <v>58</v>
      </c>
      <c r="H187" s="2" t="s">
        <v>16</v>
      </c>
      <c r="I187" s="9">
        <v>3702.88</v>
      </c>
      <c r="J187" s="5" t="s">
        <v>17</v>
      </c>
      <c r="K187" s="10">
        <v>3620</v>
      </c>
      <c r="N187"/>
      <c r="O187"/>
    </row>
    <row r="188" spans="1:15" x14ac:dyDescent="0.35">
      <c r="A188" s="88" t="s">
        <v>11</v>
      </c>
      <c r="B188" s="7">
        <f>2026</f>
        <v>2026</v>
      </c>
      <c r="C188" s="7" t="s">
        <v>61</v>
      </c>
      <c r="D188" s="7">
        <v>36</v>
      </c>
      <c r="E188" s="7">
        <v>46105</v>
      </c>
      <c r="F188" s="7">
        <v>46085</v>
      </c>
      <c r="G188" s="8" t="s">
        <v>323</v>
      </c>
      <c r="H188" s="6" t="s">
        <v>16</v>
      </c>
      <c r="I188" s="9">
        <v>2306.5100000000002</v>
      </c>
      <c r="J188" s="5" t="s">
        <v>20</v>
      </c>
      <c r="K188" s="10">
        <v>4390</v>
      </c>
      <c r="N188"/>
      <c r="O188"/>
    </row>
    <row r="189" spans="1:15" x14ac:dyDescent="0.35">
      <c r="A189" s="7" t="s">
        <v>11</v>
      </c>
      <c r="B189" s="7">
        <f>2026</f>
        <v>2026</v>
      </c>
      <c r="C189" s="7" t="s">
        <v>61</v>
      </c>
      <c r="D189" s="7">
        <v>46</v>
      </c>
      <c r="E189" s="7">
        <v>46109</v>
      </c>
      <c r="F189" s="7">
        <v>46148</v>
      </c>
      <c r="G189" s="8" t="s">
        <v>323</v>
      </c>
      <c r="H189" s="2" t="s">
        <v>16</v>
      </c>
      <c r="I189" s="9">
        <v>4397.6899999999996</v>
      </c>
      <c r="J189" s="5" t="s">
        <v>17</v>
      </c>
      <c r="K189" s="10">
        <v>4390</v>
      </c>
      <c r="N189"/>
      <c r="O189"/>
    </row>
    <row r="190" spans="1:15" x14ac:dyDescent="0.35">
      <c r="A190" s="88" t="s">
        <v>11</v>
      </c>
      <c r="B190" s="7">
        <f>2026</f>
        <v>2026</v>
      </c>
      <c r="C190" s="7" t="s">
        <v>61</v>
      </c>
      <c r="D190" s="7">
        <v>49</v>
      </c>
      <c r="E190" s="7">
        <v>46143</v>
      </c>
      <c r="F190" s="7">
        <v>46148</v>
      </c>
      <c r="G190" s="8" t="s">
        <v>59</v>
      </c>
      <c r="H190" s="6" t="s">
        <v>16</v>
      </c>
      <c r="I190" s="9">
        <v>1562.19</v>
      </c>
      <c r="J190" s="5" t="s">
        <v>33</v>
      </c>
      <c r="K190" s="10">
        <v>5760</v>
      </c>
      <c r="N190"/>
      <c r="O190"/>
    </row>
    <row r="191" spans="1:15" x14ac:dyDescent="0.35">
      <c r="A191" s="7" t="s">
        <v>11</v>
      </c>
      <c r="B191" s="7">
        <f>2026</f>
        <v>2026</v>
      </c>
      <c r="C191" s="7" t="s">
        <v>61</v>
      </c>
      <c r="D191" s="7">
        <v>48</v>
      </c>
      <c r="E191" s="7">
        <v>46108</v>
      </c>
      <c r="F191" s="7">
        <v>46148</v>
      </c>
      <c r="G191" s="8" t="s">
        <v>323</v>
      </c>
      <c r="H191" s="2" t="s">
        <v>16</v>
      </c>
      <c r="I191" s="9">
        <v>4943.54</v>
      </c>
      <c r="J191" s="5" t="s">
        <v>17</v>
      </c>
      <c r="K191" s="10">
        <v>4390</v>
      </c>
      <c r="N191"/>
      <c r="O191"/>
    </row>
    <row r="192" spans="1:15" x14ac:dyDescent="0.35">
      <c r="A192" s="88" t="s">
        <v>11</v>
      </c>
      <c r="B192" s="7">
        <f>2026</f>
        <v>2026</v>
      </c>
      <c r="C192" s="7" t="s">
        <v>61</v>
      </c>
      <c r="D192" s="7">
        <v>55</v>
      </c>
      <c r="E192" s="7">
        <v>46107</v>
      </c>
      <c r="F192" s="7">
        <v>46087</v>
      </c>
      <c r="G192" s="8" t="s">
        <v>58</v>
      </c>
      <c r="H192" s="6" t="s">
        <v>16</v>
      </c>
      <c r="I192" s="9">
        <v>6045.27</v>
      </c>
      <c r="J192" s="5" t="s">
        <v>17</v>
      </c>
      <c r="K192" s="10">
        <v>3620</v>
      </c>
      <c r="N192"/>
      <c r="O192"/>
    </row>
    <row r="193" spans="1:15" x14ac:dyDescent="0.35">
      <c r="A193" s="7" t="s">
        <v>11</v>
      </c>
      <c r="B193" s="7">
        <f>2026</f>
        <v>2026</v>
      </c>
      <c r="C193" s="7" t="s">
        <v>61</v>
      </c>
      <c r="D193" s="7">
        <v>50</v>
      </c>
      <c r="E193" s="7">
        <v>46109</v>
      </c>
      <c r="F193" s="7">
        <v>46087</v>
      </c>
      <c r="G193" s="8" t="s">
        <v>323</v>
      </c>
      <c r="H193" s="2" t="s">
        <v>16</v>
      </c>
      <c r="I193" s="9">
        <v>4320.3999999999996</v>
      </c>
      <c r="J193" s="5" t="s">
        <v>17</v>
      </c>
      <c r="K193" s="10">
        <v>4390</v>
      </c>
      <c r="N193"/>
      <c r="O193"/>
    </row>
    <row r="194" spans="1:15" x14ac:dyDescent="0.35">
      <c r="A194" s="88" t="s">
        <v>11</v>
      </c>
      <c r="B194" s="7">
        <f>2026</f>
        <v>2026</v>
      </c>
      <c r="C194" s="7" t="s">
        <v>61</v>
      </c>
      <c r="D194" s="7">
        <v>47</v>
      </c>
      <c r="E194" s="7">
        <v>46143</v>
      </c>
      <c r="F194" s="7">
        <v>46149</v>
      </c>
      <c r="G194" s="8" t="s">
        <v>58</v>
      </c>
      <c r="H194" s="6" t="s">
        <v>16</v>
      </c>
      <c r="I194" s="9">
        <v>1852.69</v>
      </c>
      <c r="J194" s="5" t="s">
        <v>20</v>
      </c>
      <c r="K194" s="10">
        <v>3620</v>
      </c>
      <c r="N194"/>
      <c r="O194"/>
    </row>
    <row r="195" spans="1:15" x14ac:dyDescent="0.35">
      <c r="A195" s="7" t="s">
        <v>11</v>
      </c>
      <c r="B195" s="7">
        <f>2026</f>
        <v>2026</v>
      </c>
      <c r="C195" s="7" t="s">
        <v>61</v>
      </c>
      <c r="D195" s="7">
        <v>44</v>
      </c>
      <c r="E195" s="7">
        <v>46107</v>
      </c>
      <c r="F195" s="7">
        <v>46149</v>
      </c>
      <c r="G195" s="8" t="s">
        <v>323</v>
      </c>
      <c r="H195" s="2" t="s">
        <v>16</v>
      </c>
      <c r="I195" s="9">
        <v>5665.18</v>
      </c>
      <c r="J195" s="5" t="s">
        <v>17</v>
      </c>
      <c r="K195" s="10">
        <v>4390</v>
      </c>
      <c r="N195"/>
      <c r="O195"/>
    </row>
    <row r="196" spans="1:15" x14ac:dyDescent="0.35">
      <c r="A196" s="88" t="s">
        <v>11</v>
      </c>
      <c r="B196" s="7">
        <f>2026</f>
        <v>2026</v>
      </c>
      <c r="C196" s="7" t="s">
        <v>61</v>
      </c>
      <c r="D196" s="7">
        <v>54</v>
      </c>
      <c r="E196" s="7">
        <v>46109</v>
      </c>
      <c r="F196" s="7">
        <v>46150</v>
      </c>
      <c r="G196" s="8" t="s">
        <v>58</v>
      </c>
      <c r="H196" s="6" t="s">
        <v>16</v>
      </c>
      <c r="I196" s="9">
        <v>3374.05</v>
      </c>
      <c r="J196" s="5" t="s">
        <v>20</v>
      </c>
      <c r="K196" s="10">
        <v>3620</v>
      </c>
      <c r="N196"/>
      <c r="O196"/>
    </row>
    <row r="197" spans="1:15" x14ac:dyDescent="0.35">
      <c r="A197" s="7" t="s">
        <v>11</v>
      </c>
      <c r="B197" s="7">
        <f>2026</f>
        <v>2026</v>
      </c>
      <c r="C197" s="7" t="s">
        <v>61</v>
      </c>
      <c r="D197" s="7">
        <v>40</v>
      </c>
      <c r="E197" s="7">
        <v>46146</v>
      </c>
      <c r="F197" s="7">
        <v>46150</v>
      </c>
      <c r="G197" s="8" t="s">
        <v>58</v>
      </c>
      <c r="H197" s="2" t="s">
        <v>16</v>
      </c>
      <c r="I197" s="9">
        <v>1994.15</v>
      </c>
      <c r="J197" s="5" t="s">
        <v>20</v>
      </c>
      <c r="K197" s="10">
        <v>3620</v>
      </c>
      <c r="N197"/>
      <c r="O197"/>
    </row>
    <row r="198" spans="1:15" x14ac:dyDescent="0.35">
      <c r="A198" s="88" t="s">
        <v>11</v>
      </c>
      <c r="B198" s="7">
        <f>2026</f>
        <v>2026</v>
      </c>
      <c r="C198" s="7" t="s">
        <v>61</v>
      </c>
      <c r="D198" s="7">
        <v>36</v>
      </c>
      <c r="E198" s="7">
        <v>46146</v>
      </c>
      <c r="F198" s="7">
        <v>46155</v>
      </c>
      <c r="G198" s="8" t="s">
        <v>58</v>
      </c>
      <c r="H198" s="6" t="s">
        <v>16</v>
      </c>
      <c r="I198" s="9">
        <v>3240.87</v>
      </c>
      <c r="J198" s="5" t="s">
        <v>33</v>
      </c>
      <c r="K198" s="10">
        <v>3620</v>
      </c>
      <c r="N198"/>
      <c r="O198"/>
    </row>
    <row r="199" spans="1:15" x14ac:dyDescent="0.35">
      <c r="A199" s="7" t="s">
        <v>11</v>
      </c>
      <c r="B199" s="7">
        <f>2026</f>
        <v>2026</v>
      </c>
      <c r="C199" s="7" t="s">
        <v>61</v>
      </c>
      <c r="D199" s="7">
        <v>37</v>
      </c>
      <c r="E199" s="7">
        <v>46144</v>
      </c>
      <c r="F199" s="7">
        <v>46155</v>
      </c>
      <c r="G199" s="8" t="s">
        <v>58</v>
      </c>
      <c r="H199" s="2" t="s">
        <v>16</v>
      </c>
      <c r="I199" s="9">
        <v>5846</v>
      </c>
      <c r="J199" s="5" t="s">
        <v>17</v>
      </c>
      <c r="K199" s="10">
        <v>3620</v>
      </c>
      <c r="N199"/>
      <c r="O199"/>
    </row>
    <row r="200" spans="1:15" x14ac:dyDescent="0.35">
      <c r="A200" s="88" t="s">
        <v>11</v>
      </c>
      <c r="B200" s="7">
        <f>2026</f>
        <v>2026</v>
      </c>
      <c r="C200" s="7" t="s">
        <v>61</v>
      </c>
      <c r="D200" s="7">
        <v>37</v>
      </c>
      <c r="E200" s="7">
        <v>46155</v>
      </c>
      <c r="F200" s="7">
        <v>46156</v>
      </c>
      <c r="G200" s="8" t="s">
        <v>58</v>
      </c>
      <c r="H200" s="6" t="s">
        <v>16</v>
      </c>
      <c r="I200" s="9">
        <v>758</v>
      </c>
      <c r="J200" s="5" t="s">
        <v>20</v>
      </c>
      <c r="K200" s="10">
        <v>3620</v>
      </c>
      <c r="N200"/>
      <c r="O200"/>
    </row>
    <row r="201" spans="1:15" x14ac:dyDescent="0.35">
      <c r="A201" s="7" t="s">
        <v>11</v>
      </c>
      <c r="B201" s="7">
        <f>2026</f>
        <v>2026</v>
      </c>
      <c r="C201" s="7" t="s">
        <v>61</v>
      </c>
      <c r="D201" s="7">
        <v>40</v>
      </c>
      <c r="E201" s="7">
        <v>46150</v>
      </c>
      <c r="F201" s="7">
        <v>46157</v>
      </c>
      <c r="G201" s="8" t="s">
        <v>323</v>
      </c>
      <c r="H201" s="2" t="s">
        <v>16</v>
      </c>
      <c r="I201" s="9">
        <v>2765.36</v>
      </c>
      <c r="J201" s="5" t="s">
        <v>20</v>
      </c>
      <c r="K201" s="10">
        <v>4390</v>
      </c>
      <c r="N201"/>
      <c r="O201"/>
    </row>
    <row r="202" spans="1:15" x14ac:dyDescent="0.35">
      <c r="A202" s="88" t="s">
        <v>11</v>
      </c>
      <c r="B202" s="7">
        <f>2026</f>
        <v>2026</v>
      </c>
      <c r="C202" s="7" t="s">
        <v>61</v>
      </c>
      <c r="D202" s="7">
        <v>45</v>
      </c>
      <c r="E202" s="7">
        <v>46140</v>
      </c>
      <c r="F202" s="7">
        <v>46157</v>
      </c>
      <c r="G202" s="8" t="s">
        <v>323</v>
      </c>
      <c r="H202" s="6" t="s">
        <v>16</v>
      </c>
      <c r="I202" s="9">
        <v>9718</v>
      </c>
      <c r="J202" s="5" t="s">
        <v>17</v>
      </c>
      <c r="K202" s="10">
        <v>4390</v>
      </c>
      <c r="N202"/>
      <c r="O202"/>
    </row>
    <row r="203" spans="1:15" x14ac:dyDescent="0.35">
      <c r="A203" s="7" t="s">
        <v>11</v>
      </c>
      <c r="B203" s="7">
        <f>2026</f>
        <v>2026</v>
      </c>
      <c r="C203" s="7" t="s">
        <v>61</v>
      </c>
      <c r="D203" s="7">
        <v>46</v>
      </c>
      <c r="E203" s="7">
        <v>46148</v>
      </c>
      <c r="F203" s="7">
        <v>46157</v>
      </c>
      <c r="G203" s="8" t="s">
        <v>323</v>
      </c>
      <c r="H203" s="2" t="s">
        <v>16</v>
      </c>
      <c r="I203" s="9">
        <v>4799.5</v>
      </c>
      <c r="J203" s="5" t="s">
        <v>17</v>
      </c>
      <c r="K203" s="10">
        <v>4390</v>
      </c>
      <c r="N203"/>
      <c r="O203"/>
    </row>
    <row r="204" spans="1:15" x14ac:dyDescent="0.35">
      <c r="A204" s="88" t="s">
        <v>11</v>
      </c>
      <c r="B204" s="7">
        <f>2026</f>
        <v>2026</v>
      </c>
      <c r="C204" s="7" t="s">
        <v>61</v>
      </c>
      <c r="D204" s="7">
        <v>55</v>
      </c>
      <c r="E204" s="7">
        <v>46148</v>
      </c>
      <c r="F204" s="7">
        <v>46158</v>
      </c>
      <c r="G204" s="8" t="s">
        <v>58</v>
      </c>
      <c r="H204" s="6" t="s">
        <v>16</v>
      </c>
      <c r="I204" s="9">
        <v>5215.3</v>
      </c>
      <c r="J204" s="5" t="s">
        <v>17</v>
      </c>
      <c r="K204" s="10">
        <v>3620</v>
      </c>
      <c r="N204"/>
      <c r="O204"/>
    </row>
    <row r="205" spans="1:15" x14ac:dyDescent="0.35">
      <c r="A205" s="7" t="s">
        <v>11</v>
      </c>
      <c r="B205" s="7">
        <f>2026</f>
        <v>2026</v>
      </c>
      <c r="C205" s="7" t="s">
        <v>61</v>
      </c>
      <c r="D205" s="7">
        <v>53</v>
      </c>
      <c r="E205" s="7">
        <v>46142</v>
      </c>
      <c r="F205" s="7">
        <v>46158</v>
      </c>
      <c r="G205" s="8" t="s">
        <v>323</v>
      </c>
      <c r="H205" s="2" t="s">
        <v>16</v>
      </c>
      <c r="I205" s="9">
        <v>7897.73</v>
      </c>
      <c r="J205" s="5" t="s">
        <v>17</v>
      </c>
      <c r="K205" s="10">
        <v>4390</v>
      </c>
      <c r="N205"/>
      <c r="O205"/>
    </row>
    <row r="206" spans="1:15" x14ac:dyDescent="0.35">
      <c r="A206" s="88" t="s">
        <v>11</v>
      </c>
      <c r="B206" s="7">
        <f>2026</f>
        <v>2026</v>
      </c>
      <c r="C206" s="7" t="s">
        <v>61</v>
      </c>
      <c r="D206" s="7">
        <v>41</v>
      </c>
      <c r="E206" s="7">
        <v>46147</v>
      </c>
      <c r="F206" s="7">
        <v>46158</v>
      </c>
      <c r="G206" s="8" t="s">
        <v>323</v>
      </c>
      <c r="H206" s="6" t="s">
        <v>16</v>
      </c>
      <c r="I206" s="9">
        <v>4186.01</v>
      </c>
      <c r="J206" s="5" t="s">
        <v>17</v>
      </c>
      <c r="K206" s="10">
        <v>4390</v>
      </c>
      <c r="N206"/>
      <c r="O206"/>
    </row>
    <row r="207" spans="1:15" x14ac:dyDescent="0.35">
      <c r="A207" s="7" t="s">
        <v>11</v>
      </c>
      <c r="B207" s="7">
        <f>2026</f>
        <v>2026</v>
      </c>
      <c r="C207" s="7" t="s">
        <v>61</v>
      </c>
      <c r="D207" s="7">
        <v>36</v>
      </c>
      <c r="E207" s="7">
        <v>46155</v>
      </c>
      <c r="F207" s="7">
        <v>46159</v>
      </c>
      <c r="G207" s="8" t="s">
        <v>58</v>
      </c>
      <c r="H207" s="2" t="s">
        <v>16</v>
      </c>
      <c r="I207" s="9">
        <v>1493.71</v>
      </c>
      <c r="J207" s="5" t="s">
        <v>20</v>
      </c>
      <c r="K207" s="10">
        <v>3620</v>
      </c>
      <c r="N207"/>
      <c r="O207"/>
    </row>
    <row r="208" spans="1:15" x14ac:dyDescent="0.35">
      <c r="A208" s="88" t="s">
        <v>11</v>
      </c>
      <c r="B208" s="7">
        <f>2026</f>
        <v>2026</v>
      </c>
      <c r="C208" s="7" t="s">
        <v>61</v>
      </c>
      <c r="D208" s="7">
        <v>54</v>
      </c>
      <c r="E208" s="7">
        <v>46150</v>
      </c>
      <c r="F208" s="7">
        <v>46159</v>
      </c>
      <c r="G208" s="8" t="s">
        <v>323</v>
      </c>
      <c r="H208" s="6" t="s">
        <v>16</v>
      </c>
      <c r="I208" s="9">
        <v>3028.9</v>
      </c>
      <c r="J208" s="5" t="s">
        <v>17</v>
      </c>
      <c r="K208" s="10">
        <v>4390</v>
      </c>
      <c r="N208"/>
      <c r="O208"/>
    </row>
    <row r="209" spans="1:15" x14ac:dyDescent="0.35">
      <c r="A209" s="7" t="s">
        <v>11</v>
      </c>
      <c r="B209" s="7">
        <f>2026</f>
        <v>2026</v>
      </c>
      <c r="C209" s="7" t="s">
        <v>61</v>
      </c>
      <c r="D209" s="7">
        <v>48</v>
      </c>
      <c r="E209" s="7">
        <v>46148</v>
      </c>
      <c r="F209" s="7">
        <v>46159</v>
      </c>
      <c r="G209" s="8" t="s">
        <v>58</v>
      </c>
      <c r="H209" s="2" t="s">
        <v>16</v>
      </c>
      <c r="I209" s="9">
        <v>4237.43</v>
      </c>
      <c r="J209" s="5" t="s">
        <v>17</v>
      </c>
      <c r="K209" s="10">
        <v>3620</v>
      </c>
      <c r="N209"/>
      <c r="O209"/>
    </row>
    <row r="210" spans="1:15" x14ac:dyDescent="0.35">
      <c r="A210" s="88" t="s">
        <v>11</v>
      </c>
      <c r="B210" s="7">
        <f>2026</f>
        <v>2026</v>
      </c>
      <c r="C210" s="7" t="s">
        <v>61</v>
      </c>
      <c r="D210" s="7">
        <v>44</v>
      </c>
      <c r="E210" s="7">
        <v>46149</v>
      </c>
      <c r="F210" s="7">
        <v>46160</v>
      </c>
      <c r="G210" s="8" t="s">
        <v>58</v>
      </c>
      <c r="H210" s="6" t="s">
        <v>16</v>
      </c>
      <c r="I210" s="9">
        <v>5515.15</v>
      </c>
      <c r="J210" s="5" t="s">
        <v>17</v>
      </c>
      <c r="K210" s="10">
        <v>3620</v>
      </c>
      <c r="N210"/>
      <c r="O210"/>
    </row>
    <row r="211" spans="1:15" x14ac:dyDescent="0.35">
      <c r="A211" s="7" t="s">
        <v>11</v>
      </c>
      <c r="B211" s="7">
        <f>2026</f>
        <v>2026</v>
      </c>
      <c r="C211" s="7" t="s">
        <v>61</v>
      </c>
      <c r="D211" s="7">
        <v>47</v>
      </c>
      <c r="E211" s="7">
        <v>46149</v>
      </c>
      <c r="F211" s="7">
        <v>46160</v>
      </c>
      <c r="G211" s="8" t="s">
        <v>323</v>
      </c>
      <c r="H211" s="2" t="s">
        <v>16</v>
      </c>
      <c r="I211" s="9">
        <v>4277.8900000000003</v>
      </c>
      <c r="J211" s="5" t="s">
        <v>17</v>
      </c>
      <c r="K211" s="10">
        <v>4390</v>
      </c>
      <c r="N211"/>
      <c r="O211"/>
    </row>
    <row r="212" spans="1:15" x14ac:dyDescent="0.35">
      <c r="A212" s="88" t="s">
        <v>11</v>
      </c>
      <c r="B212" s="7">
        <f>2026</f>
        <v>2026</v>
      </c>
      <c r="C212" s="7" t="s">
        <v>61</v>
      </c>
      <c r="D212" s="7">
        <v>50</v>
      </c>
      <c r="E212" s="7">
        <v>46148</v>
      </c>
      <c r="F212" s="7">
        <v>46161</v>
      </c>
      <c r="G212" s="8" t="s">
        <v>323</v>
      </c>
      <c r="H212" s="6" t="s">
        <v>16</v>
      </c>
      <c r="I212" s="9">
        <v>4468.45</v>
      </c>
      <c r="J212" s="5" t="s">
        <v>17</v>
      </c>
      <c r="K212" s="10">
        <v>4390</v>
      </c>
      <c r="N212"/>
      <c r="O212"/>
    </row>
    <row r="213" spans="1:15" x14ac:dyDescent="0.35">
      <c r="A213" s="7" t="s">
        <v>11</v>
      </c>
      <c r="B213" s="7">
        <f>2026</f>
        <v>2026</v>
      </c>
      <c r="C213" s="7" t="s">
        <v>61</v>
      </c>
      <c r="D213" s="7">
        <v>49</v>
      </c>
      <c r="E213" s="7">
        <v>46148</v>
      </c>
      <c r="F213" s="7">
        <v>46161</v>
      </c>
      <c r="G213" s="8" t="s">
        <v>59</v>
      </c>
      <c r="H213" s="2" t="s">
        <v>16</v>
      </c>
      <c r="I213" s="9">
        <v>3374.56</v>
      </c>
      <c r="J213" s="5" t="s">
        <v>20</v>
      </c>
      <c r="K213" s="10">
        <v>5760</v>
      </c>
      <c r="N213"/>
      <c r="O213"/>
    </row>
    <row r="214" spans="1:15" x14ac:dyDescent="0.35">
      <c r="A214" s="88" t="s">
        <v>11</v>
      </c>
      <c r="B214" s="7">
        <f>2026</f>
        <v>2026</v>
      </c>
      <c r="C214" s="7" t="s">
        <v>61</v>
      </c>
      <c r="D214" s="7">
        <v>40</v>
      </c>
      <c r="E214" s="7">
        <v>46157</v>
      </c>
      <c r="F214" s="7">
        <v>46163</v>
      </c>
      <c r="G214" s="8" t="s">
        <v>58</v>
      </c>
      <c r="H214" s="6" t="s">
        <v>16</v>
      </c>
      <c r="I214" s="9">
        <v>2476.04</v>
      </c>
      <c r="J214" s="5" t="s">
        <v>20</v>
      </c>
      <c r="K214" s="10">
        <v>3620</v>
      </c>
      <c r="N214"/>
      <c r="O214"/>
    </row>
    <row r="215" spans="1:15" x14ac:dyDescent="0.35">
      <c r="A215" s="7" t="s">
        <v>11</v>
      </c>
      <c r="B215" s="7">
        <f>2026</f>
        <v>2026</v>
      </c>
      <c r="C215" s="7" t="s">
        <v>61</v>
      </c>
      <c r="D215" s="7">
        <v>37</v>
      </c>
      <c r="E215" s="7">
        <v>46156</v>
      </c>
      <c r="F215" s="7">
        <v>46165</v>
      </c>
      <c r="G215" s="8" t="s">
        <v>58</v>
      </c>
      <c r="H215" s="2" t="s">
        <v>16</v>
      </c>
      <c r="I215" s="9">
        <v>3188</v>
      </c>
      <c r="J215" s="5" t="s">
        <v>20</v>
      </c>
      <c r="K215" s="10">
        <v>3620</v>
      </c>
      <c r="N215"/>
      <c r="O215"/>
    </row>
    <row r="216" spans="1:15" x14ac:dyDescent="0.35">
      <c r="A216" s="88" t="s">
        <v>11</v>
      </c>
      <c r="B216" s="7">
        <f>2026</f>
        <v>2026</v>
      </c>
      <c r="C216" s="7" t="s">
        <v>61</v>
      </c>
      <c r="D216" s="7">
        <v>49</v>
      </c>
      <c r="E216" s="7">
        <v>46161</v>
      </c>
      <c r="F216" s="7">
        <v>46165</v>
      </c>
      <c r="G216" s="8" t="s">
        <v>59</v>
      </c>
      <c r="H216" s="6" t="s">
        <v>16</v>
      </c>
      <c r="I216" s="9">
        <v>1071.31</v>
      </c>
      <c r="J216" s="5" t="s">
        <v>33</v>
      </c>
      <c r="K216" s="10">
        <v>5760</v>
      </c>
      <c r="N216"/>
      <c r="O216"/>
    </row>
    <row r="217" spans="1:15" x14ac:dyDescent="0.35">
      <c r="A217" s="7" t="s">
        <v>11</v>
      </c>
      <c r="B217" s="7">
        <f>2026</f>
        <v>2026</v>
      </c>
      <c r="C217" s="7" t="s">
        <v>61</v>
      </c>
      <c r="D217" s="7">
        <v>44</v>
      </c>
      <c r="E217" s="7">
        <v>46160</v>
      </c>
      <c r="F217" s="7">
        <v>46166</v>
      </c>
      <c r="G217" s="8" t="s">
        <v>323</v>
      </c>
      <c r="H217" s="2" t="s">
        <v>16</v>
      </c>
      <c r="I217" s="9">
        <v>2658.47</v>
      </c>
      <c r="J217" s="5" t="s">
        <v>20</v>
      </c>
      <c r="K217" s="10">
        <v>4390</v>
      </c>
      <c r="N217"/>
      <c r="O217"/>
    </row>
    <row r="218" spans="1:15" x14ac:dyDescent="0.35">
      <c r="A218" s="88" t="s">
        <v>11</v>
      </c>
      <c r="B218" s="7">
        <f>2026</f>
        <v>2026</v>
      </c>
      <c r="C218" s="7" t="s">
        <v>61</v>
      </c>
      <c r="D218" s="7">
        <v>48</v>
      </c>
      <c r="E218" s="7">
        <v>46159</v>
      </c>
      <c r="F218" s="7">
        <v>46166</v>
      </c>
      <c r="G218" s="8" t="s">
        <v>323</v>
      </c>
      <c r="H218" s="6" t="s">
        <v>16</v>
      </c>
      <c r="I218" s="9">
        <v>2578.89</v>
      </c>
      <c r="J218" s="5" t="s">
        <v>20</v>
      </c>
      <c r="K218" s="10">
        <v>4390</v>
      </c>
      <c r="N218"/>
      <c r="O218"/>
    </row>
    <row r="219" spans="1:15" x14ac:dyDescent="0.35">
      <c r="A219" s="7" t="s">
        <v>11</v>
      </c>
      <c r="B219" s="7">
        <f>2026</f>
        <v>2026</v>
      </c>
      <c r="C219" s="7" t="s">
        <v>61</v>
      </c>
      <c r="D219" s="7">
        <v>47</v>
      </c>
      <c r="E219" s="7">
        <v>46160</v>
      </c>
      <c r="F219" s="7">
        <v>46167</v>
      </c>
      <c r="G219" s="8" t="s">
        <v>323</v>
      </c>
      <c r="H219" s="2" t="s">
        <v>16</v>
      </c>
      <c r="I219" s="9">
        <v>2383.38</v>
      </c>
      <c r="J219" s="5" t="s">
        <v>20</v>
      </c>
      <c r="K219" s="10">
        <v>4390</v>
      </c>
      <c r="N219"/>
      <c r="O219"/>
    </row>
    <row r="220" spans="1:15" x14ac:dyDescent="0.35">
      <c r="A220" s="88" t="s">
        <v>11</v>
      </c>
      <c r="B220" s="7">
        <f>2026</f>
        <v>2026</v>
      </c>
      <c r="C220" s="7" t="s">
        <v>61</v>
      </c>
      <c r="D220" s="7">
        <v>46</v>
      </c>
      <c r="E220" s="7">
        <v>46157</v>
      </c>
      <c r="F220" s="7">
        <v>46167</v>
      </c>
      <c r="G220" s="8" t="s">
        <v>58</v>
      </c>
      <c r="H220" s="6" t="s">
        <v>16</v>
      </c>
      <c r="I220" s="9">
        <v>5509.67</v>
      </c>
      <c r="J220" s="5" t="s">
        <v>17</v>
      </c>
      <c r="K220" s="10">
        <v>3620</v>
      </c>
      <c r="N220"/>
      <c r="O220"/>
    </row>
    <row r="221" spans="1:15" x14ac:dyDescent="0.35">
      <c r="A221" s="7" t="s">
        <v>11</v>
      </c>
      <c r="B221" s="7">
        <f>2026</f>
        <v>2026</v>
      </c>
      <c r="C221" s="7" t="s">
        <v>61</v>
      </c>
      <c r="D221" s="7">
        <v>49</v>
      </c>
      <c r="E221" s="7">
        <v>46165</v>
      </c>
      <c r="F221" s="7">
        <v>46169</v>
      </c>
      <c r="G221" s="8" t="s">
        <v>59</v>
      </c>
      <c r="H221" s="2" t="s">
        <v>16</v>
      </c>
      <c r="I221" s="9">
        <v>609.21</v>
      </c>
      <c r="J221" s="5" t="s">
        <v>33</v>
      </c>
      <c r="K221" s="10">
        <v>5760</v>
      </c>
      <c r="N221"/>
      <c r="O221"/>
    </row>
    <row r="222" spans="1:15" x14ac:dyDescent="0.35">
      <c r="A222" s="88" t="s">
        <v>11</v>
      </c>
      <c r="B222" s="7">
        <f>2026</f>
        <v>2026</v>
      </c>
      <c r="C222" s="7" t="s">
        <v>61</v>
      </c>
      <c r="D222" s="7">
        <v>55</v>
      </c>
      <c r="E222" s="7">
        <v>46158</v>
      </c>
      <c r="F222" s="7">
        <v>46168</v>
      </c>
      <c r="G222" s="8" t="s">
        <v>58</v>
      </c>
      <c r="H222" s="6" t="s">
        <v>16</v>
      </c>
      <c r="I222" s="9">
        <v>5012.3</v>
      </c>
      <c r="J222" s="5" t="s">
        <v>17</v>
      </c>
      <c r="K222" s="10">
        <v>3620</v>
      </c>
      <c r="N222"/>
      <c r="O222"/>
    </row>
    <row r="223" spans="1:15" x14ac:dyDescent="0.35">
      <c r="A223" s="7" t="s">
        <v>11</v>
      </c>
      <c r="B223" s="7">
        <f>2026</f>
        <v>2026</v>
      </c>
      <c r="C223" s="7" t="s">
        <v>61</v>
      </c>
      <c r="D223" s="7">
        <v>40</v>
      </c>
      <c r="E223" s="7">
        <v>46163</v>
      </c>
      <c r="F223" s="7">
        <v>46169</v>
      </c>
      <c r="G223" s="8" t="s">
        <v>323</v>
      </c>
      <c r="H223" s="2" t="s">
        <v>16</v>
      </c>
      <c r="I223" s="9">
        <v>2295.5300000000002</v>
      </c>
      <c r="J223" s="5" t="s">
        <v>20</v>
      </c>
      <c r="K223" s="10">
        <v>4390</v>
      </c>
      <c r="N223"/>
      <c r="O223"/>
    </row>
    <row r="224" spans="1:15" x14ac:dyDescent="0.35">
      <c r="A224" s="88" t="s">
        <v>11</v>
      </c>
      <c r="B224" s="7">
        <f>2026</f>
        <v>2026</v>
      </c>
      <c r="C224" s="7" t="s">
        <v>61</v>
      </c>
      <c r="D224" s="7">
        <v>36</v>
      </c>
      <c r="E224" s="7">
        <v>46159</v>
      </c>
      <c r="F224" s="7">
        <v>46169</v>
      </c>
      <c r="G224" s="8" t="s">
        <v>323</v>
      </c>
      <c r="H224" s="6" t="s">
        <v>16</v>
      </c>
      <c r="I224" s="9">
        <v>2974.13</v>
      </c>
      <c r="J224" s="5" t="s">
        <v>20</v>
      </c>
      <c r="K224" s="10">
        <v>4390</v>
      </c>
      <c r="N224"/>
      <c r="O224"/>
    </row>
    <row r="225" spans="1:15" x14ac:dyDescent="0.35">
      <c r="A225" s="7" t="s">
        <v>11</v>
      </c>
      <c r="B225" s="7">
        <f>2026</f>
        <v>2026</v>
      </c>
      <c r="C225" s="7" t="s">
        <v>61</v>
      </c>
      <c r="D225" s="7">
        <v>45</v>
      </c>
      <c r="E225" s="7">
        <v>46157</v>
      </c>
      <c r="F225" s="7">
        <v>46169</v>
      </c>
      <c r="G225" s="8" t="s">
        <v>323</v>
      </c>
      <c r="H225" s="2" t="s">
        <v>16</v>
      </c>
      <c r="I225" s="9">
        <v>6024.93</v>
      </c>
      <c r="J225" s="5" t="s">
        <v>17</v>
      </c>
      <c r="K225" s="10">
        <v>4390</v>
      </c>
      <c r="N225"/>
      <c r="O225"/>
    </row>
    <row r="226" spans="1:15" x14ac:dyDescent="0.35">
      <c r="A226" s="88" t="s">
        <v>11</v>
      </c>
      <c r="B226" s="7">
        <f>2026</f>
        <v>2026</v>
      </c>
      <c r="C226" s="7" t="s">
        <v>61</v>
      </c>
      <c r="D226" s="7">
        <v>49</v>
      </c>
      <c r="E226" s="7">
        <v>46169</v>
      </c>
      <c r="F226" s="7">
        <v>46172</v>
      </c>
      <c r="G226" s="8" t="s">
        <v>59</v>
      </c>
      <c r="H226" s="6" t="s">
        <v>16</v>
      </c>
      <c r="I226" s="9">
        <v>421.28</v>
      </c>
      <c r="J226" s="5" t="s">
        <v>20</v>
      </c>
      <c r="K226" s="10">
        <v>5760</v>
      </c>
      <c r="N226"/>
      <c r="O226"/>
    </row>
    <row r="227" spans="1:15" x14ac:dyDescent="0.35">
      <c r="A227" s="7" t="s">
        <v>11</v>
      </c>
      <c r="B227" s="7">
        <f>2026</f>
        <v>2026</v>
      </c>
      <c r="C227" s="7" t="s">
        <v>61</v>
      </c>
      <c r="D227" s="7">
        <v>50</v>
      </c>
      <c r="E227" s="7">
        <v>46161</v>
      </c>
      <c r="F227" s="7">
        <v>46174</v>
      </c>
      <c r="G227" s="8" t="s">
        <v>323</v>
      </c>
      <c r="H227" s="2" t="s">
        <v>16</v>
      </c>
      <c r="I227" s="9">
        <v>4537.8100000000004</v>
      </c>
      <c r="J227" s="5" t="s">
        <v>17</v>
      </c>
      <c r="K227" s="10">
        <v>4390</v>
      </c>
      <c r="N227"/>
      <c r="O227"/>
    </row>
    <row r="228" spans="1:15" x14ac:dyDescent="0.35">
      <c r="A228" s="88" t="s">
        <v>11</v>
      </c>
      <c r="B228" s="7">
        <f>2026</f>
        <v>2026</v>
      </c>
      <c r="C228" s="7" t="s">
        <v>61</v>
      </c>
      <c r="D228" s="7">
        <v>53</v>
      </c>
      <c r="E228" s="7">
        <v>46162</v>
      </c>
      <c r="F228" s="7">
        <v>46173</v>
      </c>
      <c r="G228" s="8" t="s">
        <v>323</v>
      </c>
      <c r="H228" s="6" t="s">
        <v>16</v>
      </c>
      <c r="I228" s="9">
        <v>6804.36</v>
      </c>
      <c r="J228" s="5" t="s">
        <v>17</v>
      </c>
      <c r="K228" s="10">
        <v>4390</v>
      </c>
      <c r="N228"/>
      <c r="O228"/>
    </row>
    <row r="229" spans="1:15" x14ac:dyDescent="0.35">
      <c r="A229" s="7" t="s">
        <v>11</v>
      </c>
      <c r="B229" s="7">
        <f>2026</f>
        <v>2026</v>
      </c>
      <c r="C229" s="7" t="s">
        <v>61</v>
      </c>
      <c r="D229" s="7">
        <v>54</v>
      </c>
      <c r="E229" s="7">
        <v>46159</v>
      </c>
      <c r="F229" s="7">
        <v>46173</v>
      </c>
      <c r="G229" s="8" t="s">
        <v>323</v>
      </c>
      <c r="H229" s="2" t="s">
        <v>16</v>
      </c>
      <c r="I229" s="9">
        <v>4220.25</v>
      </c>
      <c r="J229" s="5" t="s">
        <v>17</v>
      </c>
      <c r="K229" s="10">
        <v>4390</v>
      </c>
      <c r="N229"/>
      <c r="O229"/>
    </row>
    <row r="230" spans="1:15" x14ac:dyDescent="0.35">
      <c r="A230" s="88" t="s">
        <v>11</v>
      </c>
      <c r="B230" s="7">
        <f>2026</f>
        <v>2026</v>
      </c>
      <c r="C230" s="7" t="s">
        <v>61</v>
      </c>
      <c r="D230" s="7">
        <v>41</v>
      </c>
      <c r="E230" s="7">
        <v>46158</v>
      </c>
      <c r="F230" s="7">
        <v>46173</v>
      </c>
      <c r="G230" s="8" t="s">
        <v>323</v>
      </c>
      <c r="H230" s="6" t="s">
        <v>16</v>
      </c>
      <c r="I230" s="9">
        <v>5315.34</v>
      </c>
      <c r="J230" s="5" t="s">
        <v>17</v>
      </c>
      <c r="K230" s="10">
        <v>4390</v>
      </c>
      <c r="N230"/>
      <c r="O230"/>
    </row>
    <row r="231" spans="1:15" x14ac:dyDescent="0.35">
      <c r="A231" s="7" t="s">
        <v>11</v>
      </c>
      <c r="B231" s="7">
        <f>2026</f>
        <v>2026</v>
      </c>
      <c r="C231" s="7" t="s">
        <v>62</v>
      </c>
      <c r="D231" s="7">
        <v>48</v>
      </c>
      <c r="E231" s="7">
        <v>46166</v>
      </c>
      <c r="F231" s="7">
        <v>46175</v>
      </c>
      <c r="G231" s="8" t="s">
        <v>323</v>
      </c>
      <c r="H231" s="2" t="s">
        <v>16</v>
      </c>
      <c r="I231" s="9">
        <v>3046.47</v>
      </c>
      <c r="J231" s="5" t="s">
        <v>20</v>
      </c>
      <c r="K231" s="10">
        <v>4390</v>
      </c>
      <c r="N231"/>
      <c r="O231"/>
    </row>
    <row r="232" spans="1:15" x14ac:dyDescent="0.35">
      <c r="A232" s="88" t="s">
        <v>11</v>
      </c>
      <c r="B232" s="7">
        <f>2026</f>
        <v>2026</v>
      </c>
      <c r="C232" s="7" t="s">
        <v>62</v>
      </c>
      <c r="D232" s="7">
        <v>44</v>
      </c>
      <c r="E232" s="7">
        <v>46166</v>
      </c>
      <c r="F232" s="7">
        <v>46176</v>
      </c>
      <c r="G232" s="8" t="s">
        <v>323</v>
      </c>
      <c r="H232" s="6" t="s">
        <v>16</v>
      </c>
      <c r="I232" s="9">
        <v>3952.15</v>
      </c>
      <c r="J232" s="5" t="s">
        <v>17</v>
      </c>
      <c r="K232" s="10">
        <v>4390</v>
      </c>
      <c r="N232"/>
      <c r="O232"/>
    </row>
    <row r="233" spans="1:15" x14ac:dyDescent="0.35">
      <c r="A233" s="7" t="s">
        <v>11</v>
      </c>
      <c r="B233" s="7">
        <f>2026</f>
        <v>2026</v>
      </c>
      <c r="C233" s="7" t="s">
        <v>62</v>
      </c>
      <c r="D233" s="7">
        <v>40</v>
      </c>
      <c r="E233" s="7">
        <v>46169</v>
      </c>
      <c r="F233" s="7">
        <v>46178</v>
      </c>
      <c r="G233" s="8" t="s">
        <v>323</v>
      </c>
      <c r="H233" s="2" t="s">
        <v>16</v>
      </c>
      <c r="I233" s="9">
        <v>4261.87</v>
      </c>
      <c r="J233" s="5" t="s">
        <v>17</v>
      </c>
      <c r="K233" s="10">
        <v>4390</v>
      </c>
      <c r="N233"/>
      <c r="O233"/>
    </row>
    <row r="234" spans="1:15" x14ac:dyDescent="0.35">
      <c r="A234" s="88" t="s">
        <v>11</v>
      </c>
      <c r="B234" s="7">
        <f>2026</f>
        <v>2026</v>
      </c>
      <c r="C234" s="7" t="s">
        <v>62</v>
      </c>
      <c r="D234" s="7">
        <v>37</v>
      </c>
      <c r="E234" s="7">
        <v>46165</v>
      </c>
      <c r="F234" s="7">
        <v>46177</v>
      </c>
      <c r="G234" s="8" t="s">
        <v>323</v>
      </c>
      <c r="H234" s="6" t="s">
        <v>16</v>
      </c>
      <c r="I234" s="9">
        <v>4344</v>
      </c>
      <c r="J234" s="5" t="s">
        <v>17</v>
      </c>
      <c r="K234" s="10">
        <v>4390</v>
      </c>
      <c r="N234"/>
      <c r="O234"/>
    </row>
    <row r="235" spans="1:15" x14ac:dyDescent="0.35">
      <c r="A235" s="7" t="s">
        <v>11</v>
      </c>
      <c r="B235" s="7">
        <f>2026</f>
        <v>2026</v>
      </c>
      <c r="C235" s="7" t="s">
        <v>62</v>
      </c>
      <c r="D235" s="7">
        <v>36</v>
      </c>
      <c r="E235" s="7">
        <v>46169</v>
      </c>
      <c r="F235" s="7">
        <v>46178</v>
      </c>
      <c r="G235" s="8" t="s">
        <v>323</v>
      </c>
      <c r="H235" s="2" t="s">
        <v>16</v>
      </c>
      <c r="I235" s="9">
        <v>2702.42</v>
      </c>
      <c r="J235" s="5" t="s">
        <v>20</v>
      </c>
      <c r="K235" s="10">
        <v>4390</v>
      </c>
      <c r="N235"/>
      <c r="O235"/>
    </row>
    <row r="236" spans="1:15" x14ac:dyDescent="0.35">
      <c r="A236" s="88" t="s">
        <v>11</v>
      </c>
      <c r="B236" s="7">
        <f>2026</f>
        <v>2026</v>
      </c>
      <c r="C236" s="7" t="s">
        <v>62</v>
      </c>
      <c r="D236" s="7">
        <v>55</v>
      </c>
      <c r="E236" s="7">
        <v>46168</v>
      </c>
      <c r="F236" s="7">
        <v>46180</v>
      </c>
      <c r="G236" s="8" t="s">
        <v>323</v>
      </c>
      <c r="H236" s="6" t="s">
        <v>16</v>
      </c>
      <c r="I236" s="9">
        <v>5843</v>
      </c>
      <c r="J236" s="5" t="s">
        <v>17</v>
      </c>
      <c r="K236" s="10">
        <v>4390</v>
      </c>
      <c r="N236"/>
      <c r="O236"/>
    </row>
    <row r="237" spans="1:15" x14ac:dyDescent="0.35">
      <c r="A237" s="7" t="s">
        <v>11</v>
      </c>
      <c r="B237" s="7">
        <f>2026</f>
        <v>2026</v>
      </c>
      <c r="C237" s="7" t="s">
        <v>62</v>
      </c>
      <c r="D237" s="7">
        <v>49</v>
      </c>
      <c r="E237" s="7">
        <v>46176</v>
      </c>
      <c r="F237" s="7">
        <v>46180</v>
      </c>
      <c r="G237" s="8" t="s">
        <v>59</v>
      </c>
      <c r="H237" s="2" t="s">
        <v>63</v>
      </c>
      <c r="I237" s="9">
        <v>1312</v>
      </c>
      <c r="J237" s="5" t="s">
        <v>33</v>
      </c>
      <c r="K237" s="10">
        <v>3800</v>
      </c>
      <c r="N237"/>
      <c r="O237"/>
    </row>
    <row r="238" spans="1:15" x14ac:dyDescent="0.35">
      <c r="A238" s="88" t="s">
        <v>11</v>
      </c>
      <c r="B238" s="7">
        <f>2026</f>
        <v>2026</v>
      </c>
      <c r="C238" s="7" t="s">
        <v>62</v>
      </c>
      <c r="D238" s="7">
        <v>49</v>
      </c>
      <c r="E238" s="7">
        <v>46180</v>
      </c>
      <c r="F238" s="7">
        <v>46180</v>
      </c>
      <c r="G238" s="8" t="s">
        <v>59</v>
      </c>
      <c r="H238" s="6" t="s">
        <v>63</v>
      </c>
      <c r="I238" s="9">
        <v>36.65</v>
      </c>
      <c r="J238" s="5" t="s">
        <v>20</v>
      </c>
      <c r="K238" s="10">
        <v>3800</v>
      </c>
      <c r="N238"/>
      <c r="O238"/>
    </row>
    <row r="239" spans="1:15" x14ac:dyDescent="0.35">
      <c r="A239" s="7" t="s">
        <v>11</v>
      </c>
      <c r="B239" s="7">
        <f>2026</f>
        <v>2026</v>
      </c>
      <c r="C239" s="7" t="s">
        <v>62</v>
      </c>
      <c r="D239" s="7">
        <v>47</v>
      </c>
      <c r="E239" s="7">
        <v>46167</v>
      </c>
      <c r="F239" s="7">
        <v>46181</v>
      </c>
      <c r="G239" s="8" t="s">
        <v>323</v>
      </c>
      <c r="H239" s="2" t="s">
        <v>16</v>
      </c>
      <c r="I239" s="9">
        <v>4062.34</v>
      </c>
      <c r="J239" s="5" t="s">
        <v>17</v>
      </c>
      <c r="K239" s="10">
        <v>4390</v>
      </c>
      <c r="N239"/>
      <c r="O239"/>
    </row>
    <row r="240" spans="1:15" x14ac:dyDescent="0.35">
      <c r="A240" s="88" t="s">
        <v>11</v>
      </c>
      <c r="B240" s="7">
        <f>2026</f>
        <v>2026</v>
      </c>
      <c r="C240" s="7" t="s">
        <v>62</v>
      </c>
      <c r="D240" s="7">
        <v>54</v>
      </c>
      <c r="E240" s="7">
        <v>46173</v>
      </c>
      <c r="F240" s="7">
        <v>46181</v>
      </c>
      <c r="G240" s="8" t="s">
        <v>64</v>
      </c>
      <c r="H240" s="6" t="s">
        <v>16</v>
      </c>
      <c r="I240" s="9">
        <v>4045.4</v>
      </c>
      <c r="J240" s="5" t="s">
        <v>17</v>
      </c>
      <c r="K240" s="10">
        <v>2775.03</v>
      </c>
      <c r="N240"/>
      <c r="O240"/>
    </row>
    <row r="241" spans="1:15" x14ac:dyDescent="0.35">
      <c r="A241" s="7" t="s">
        <v>11</v>
      </c>
      <c r="B241" s="7">
        <f>2026</f>
        <v>2026</v>
      </c>
      <c r="C241" s="7" t="s">
        <v>62</v>
      </c>
      <c r="D241" s="7">
        <v>40</v>
      </c>
      <c r="E241" s="7">
        <v>46178</v>
      </c>
      <c r="F241" s="7">
        <v>46182</v>
      </c>
      <c r="G241" s="8" t="s">
        <v>323</v>
      </c>
      <c r="H241" s="2" t="s">
        <v>16</v>
      </c>
      <c r="I241" s="9">
        <v>1101.47</v>
      </c>
      <c r="J241" s="5" t="s">
        <v>20</v>
      </c>
      <c r="K241" s="10">
        <v>4390</v>
      </c>
      <c r="N241"/>
      <c r="O241"/>
    </row>
    <row r="242" spans="1:15" x14ac:dyDescent="0.35">
      <c r="A242" s="88" t="s">
        <v>11</v>
      </c>
      <c r="B242" s="7">
        <f>2026</f>
        <v>2026</v>
      </c>
      <c r="C242" s="7" t="s">
        <v>62</v>
      </c>
      <c r="D242" s="7">
        <v>45</v>
      </c>
      <c r="E242" s="7">
        <v>46169</v>
      </c>
      <c r="F242" s="7">
        <v>46183</v>
      </c>
      <c r="G242" s="8" t="s">
        <v>323</v>
      </c>
      <c r="H242" s="6" t="s">
        <v>16</v>
      </c>
      <c r="I242" s="9">
        <v>6101</v>
      </c>
      <c r="J242" s="5" t="s">
        <v>17</v>
      </c>
      <c r="K242" s="10">
        <v>4390</v>
      </c>
      <c r="N242"/>
      <c r="O242"/>
    </row>
    <row r="243" spans="1:15" x14ac:dyDescent="0.35">
      <c r="A243" s="7" t="s">
        <v>11</v>
      </c>
      <c r="B243" s="7">
        <f>2026</f>
        <v>2026</v>
      </c>
      <c r="C243" s="7" t="s">
        <v>62</v>
      </c>
      <c r="D243" s="7">
        <v>44</v>
      </c>
      <c r="E243" s="7">
        <v>46176</v>
      </c>
      <c r="F243" s="7">
        <v>46182</v>
      </c>
      <c r="G243" s="8" t="s">
        <v>58</v>
      </c>
      <c r="H243" s="2" t="s">
        <v>16</v>
      </c>
      <c r="I243" s="9">
        <v>2421.0700000000002</v>
      </c>
      <c r="J243" s="5" t="s">
        <v>20</v>
      </c>
      <c r="K243" s="10">
        <v>3620</v>
      </c>
      <c r="N243"/>
      <c r="O243"/>
    </row>
    <row r="244" spans="1:15" x14ac:dyDescent="0.35">
      <c r="A244" s="88" t="s">
        <v>11</v>
      </c>
      <c r="B244" s="7">
        <f>2026</f>
        <v>2026</v>
      </c>
      <c r="C244" s="7" t="s">
        <v>62</v>
      </c>
      <c r="D244" s="7">
        <v>49</v>
      </c>
      <c r="E244" s="7">
        <v>46180</v>
      </c>
      <c r="F244" s="7">
        <v>46183</v>
      </c>
      <c r="G244" s="8" t="s">
        <v>59</v>
      </c>
      <c r="H244" s="6" t="s">
        <v>63</v>
      </c>
      <c r="I244" s="9">
        <v>640.99</v>
      </c>
      <c r="J244" s="5" t="s">
        <v>20</v>
      </c>
      <c r="K244" s="10">
        <v>3800</v>
      </c>
      <c r="N244"/>
      <c r="O244"/>
    </row>
    <row r="245" spans="1:15" x14ac:dyDescent="0.35">
      <c r="A245" s="7" t="s">
        <v>11</v>
      </c>
      <c r="B245" s="7">
        <f>2026</f>
        <v>2026</v>
      </c>
      <c r="C245" s="7" t="s">
        <v>62</v>
      </c>
      <c r="D245" s="7">
        <v>47</v>
      </c>
      <c r="E245" s="7">
        <v>46181</v>
      </c>
      <c r="F245" s="7">
        <v>46184</v>
      </c>
      <c r="G245" s="8" t="s">
        <v>59</v>
      </c>
      <c r="H245" s="2" t="s">
        <v>63</v>
      </c>
      <c r="I245" s="9">
        <v>963.51</v>
      </c>
      <c r="J245" s="5" t="s">
        <v>20</v>
      </c>
      <c r="K245" s="10">
        <v>3800</v>
      </c>
      <c r="N245"/>
      <c r="O245"/>
    </row>
    <row r="246" spans="1:15" x14ac:dyDescent="0.35">
      <c r="A246" s="88" t="s">
        <v>11</v>
      </c>
      <c r="B246" s="7">
        <f>2026</f>
        <v>2026</v>
      </c>
      <c r="C246" s="7" t="s">
        <v>62</v>
      </c>
      <c r="D246" s="7">
        <v>47</v>
      </c>
      <c r="E246" s="7">
        <v>46184</v>
      </c>
      <c r="F246" s="7">
        <v>46185</v>
      </c>
      <c r="G246" s="8" t="s">
        <v>59</v>
      </c>
      <c r="H246" s="6" t="s">
        <v>63</v>
      </c>
      <c r="I246" s="9">
        <v>136.91999999999999</v>
      </c>
      <c r="J246" s="5" t="s">
        <v>20</v>
      </c>
      <c r="K246" s="10">
        <v>3800</v>
      </c>
      <c r="N246"/>
      <c r="O246"/>
    </row>
    <row r="247" spans="1:15" x14ac:dyDescent="0.35">
      <c r="A247" s="7" t="s">
        <v>11</v>
      </c>
      <c r="B247" s="7">
        <f>2026</f>
        <v>2026</v>
      </c>
      <c r="C247" s="7" t="s">
        <v>62</v>
      </c>
      <c r="D247" s="7">
        <v>49</v>
      </c>
      <c r="E247" s="7">
        <v>46183</v>
      </c>
      <c r="F247" s="7">
        <v>46186</v>
      </c>
      <c r="G247" s="8" t="s">
        <v>59</v>
      </c>
      <c r="H247" s="2" t="s">
        <v>63</v>
      </c>
      <c r="I247" s="9">
        <v>680.51</v>
      </c>
      <c r="J247" s="5" t="s">
        <v>33</v>
      </c>
      <c r="K247" s="10">
        <v>3800</v>
      </c>
      <c r="N247"/>
      <c r="O247"/>
    </row>
    <row r="248" spans="1:15" x14ac:dyDescent="0.35">
      <c r="A248" s="88" t="s">
        <v>11</v>
      </c>
      <c r="B248" s="7">
        <f>2026</f>
        <v>2026</v>
      </c>
      <c r="C248" s="7" t="s">
        <v>62</v>
      </c>
      <c r="D248" s="7">
        <v>41</v>
      </c>
      <c r="E248" s="7">
        <v>46173</v>
      </c>
      <c r="F248" s="7">
        <v>46185</v>
      </c>
      <c r="G248" s="8" t="s">
        <v>58</v>
      </c>
      <c r="H248" s="6" t="s">
        <v>16</v>
      </c>
      <c r="I248" s="9">
        <v>5467.58</v>
      </c>
      <c r="J248" s="5" t="s">
        <v>17</v>
      </c>
      <c r="K248" s="10">
        <v>4750</v>
      </c>
      <c r="N248"/>
      <c r="O248"/>
    </row>
    <row r="249" spans="1:15" x14ac:dyDescent="0.35">
      <c r="A249" s="7" t="s">
        <v>11</v>
      </c>
      <c r="B249" s="7">
        <f>2026</f>
        <v>2026</v>
      </c>
      <c r="C249" s="7" t="s">
        <v>62</v>
      </c>
      <c r="D249" s="7">
        <v>50</v>
      </c>
      <c r="E249" s="7">
        <v>46179</v>
      </c>
      <c r="F249" s="7">
        <v>46186</v>
      </c>
      <c r="G249" s="8" t="s">
        <v>323</v>
      </c>
      <c r="H249" s="2" t="s">
        <v>16</v>
      </c>
      <c r="I249" s="9">
        <v>3818.24</v>
      </c>
      <c r="J249" s="5" t="s">
        <v>17</v>
      </c>
      <c r="K249" s="10">
        <v>4390</v>
      </c>
      <c r="N249"/>
      <c r="O249"/>
    </row>
    <row r="250" spans="1:15" x14ac:dyDescent="0.35">
      <c r="A250" s="88" t="s">
        <v>11</v>
      </c>
      <c r="B250" s="7">
        <f>2026</f>
        <v>2026</v>
      </c>
      <c r="C250" s="7" t="s">
        <v>62</v>
      </c>
      <c r="D250" s="7">
        <v>37</v>
      </c>
      <c r="E250" s="7">
        <v>46177</v>
      </c>
      <c r="F250" s="7">
        <v>46186</v>
      </c>
      <c r="G250" s="8" t="s">
        <v>58</v>
      </c>
      <c r="H250" s="6" t="s">
        <v>16</v>
      </c>
      <c r="I250" s="9">
        <v>4749</v>
      </c>
      <c r="J250" s="5" t="s">
        <v>17</v>
      </c>
      <c r="K250" s="10">
        <v>4750</v>
      </c>
      <c r="N250"/>
      <c r="O250"/>
    </row>
    <row r="251" spans="1:15" x14ac:dyDescent="0.35">
      <c r="A251" s="7" t="s">
        <v>11</v>
      </c>
      <c r="B251" s="7">
        <f>2026</f>
        <v>2026</v>
      </c>
      <c r="C251" s="7" t="s">
        <v>62</v>
      </c>
      <c r="D251" s="7">
        <v>36</v>
      </c>
      <c r="E251" s="7">
        <v>46178</v>
      </c>
      <c r="F251" s="7">
        <v>46186</v>
      </c>
      <c r="G251" s="8" t="s">
        <v>58</v>
      </c>
      <c r="H251" s="2" t="s">
        <v>16</v>
      </c>
      <c r="I251" s="9">
        <v>2793.37</v>
      </c>
      <c r="J251" s="5" t="s">
        <v>20</v>
      </c>
      <c r="K251" s="10">
        <v>4750</v>
      </c>
      <c r="N251"/>
      <c r="O251"/>
    </row>
    <row r="252" spans="1:15" x14ac:dyDescent="0.35">
      <c r="A252" s="88" t="s">
        <v>11</v>
      </c>
      <c r="B252" s="7">
        <f>2026</f>
        <v>2026</v>
      </c>
      <c r="C252" s="7" t="s">
        <v>62</v>
      </c>
      <c r="D252" s="7">
        <v>55</v>
      </c>
      <c r="E252" s="7">
        <v>46180</v>
      </c>
      <c r="F252" s="7">
        <v>46187</v>
      </c>
      <c r="G252" s="8" t="s">
        <v>58</v>
      </c>
      <c r="H252" s="6" t="s">
        <v>16</v>
      </c>
      <c r="I252" s="9">
        <v>3505.5</v>
      </c>
      <c r="J252" s="5" t="s">
        <v>20</v>
      </c>
      <c r="K252" s="10">
        <v>4750</v>
      </c>
      <c r="N252"/>
      <c r="O252"/>
    </row>
    <row r="253" spans="1:15" x14ac:dyDescent="0.35">
      <c r="A253" s="7" t="s">
        <v>11</v>
      </c>
      <c r="B253" s="7">
        <f>2026</f>
        <v>2026</v>
      </c>
      <c r="C253" s="7" t="s">
        <v>62</v>
      </c>
      <c r="D253" s="7">
        <v>49</v>
      </c>
      <c r="E253" s="7">
        <v>46186</v>
      </c>
      <c r="F253" s="7">
        <v>46187</v>
      </c>
      <c r="G253" s="8" t="s">
        <v>59</v>
      </c>
      <c r="H253" s="2" t="s">
        <v>63</v>
      </c>
      <c r="I253" s="9">
        <v>162.63</v>
      </c>
      <c r="J253" s="5" t="s">
        <v>20</v>
      </c>
      <c r="K253" s="10">
        <v>3800</v>
      </c>
      <c r="N253"/>
      <c r="O253"/>
    </row>
    <row r="254" spans="1:15" x14ac:dyDescent="0.35">
      <c r="A254" s="88" t="s">
        <v>11</v>
      </c>
      <c r="B254" s="7">
        <f>2026</f>
        <v>2026</v>
      </c>
      <c r="C254" s="7" t="s">
        <v>62</v>
      </c>
      <c r="D254" s="7">
        <v>44</v>
      </c>
      <c r="E254" s="7">
        <v>46182</v>
      </c>
      <c r="F254" s="7">
        <v>46188</v>
      </c>
      <c r="G254" s="8" t="s">
        <v>58</v>
      </c>
      <c r="H254" s="6" t="s">
        <v>16</v>
      </c>
      <c r="I254" s="9">
        <v>1389.94</v>
      </c>
      <c r="J254" s="5" t="s">
        <v>33</v>
      </c>
      <c r="K254" s="10">
        <v>4750</v>
      </c>
      <c r="N254"/>
      <c r="O254"/>
    </row>
    <row r="255" spans="1:15" x14ac:dyDescent="0.35">
      <c r="A255" s="7" t="s">
        <v>11</v>
      </c>
      <c r="B255" s="7">
        <f>2026</f>
        <v>2026</v>
      </c>
      <c r="C255" s="7" t="s">
        <v>62</v>
      </c>
      <c r="D255" s="7">
        <v>47</v>
      </c>
      <c r="E255" s="7">
        <v>46185</v>
      </c>
      <c r="F255" s="7">
        <v>46188</v>
      </c>
      <c r="G255" s="8" t="s">
        <v>59</v>
      </c>
      <c r="H255" s="2" t="s">
        <v>63</v>
      </c>
      <c r="I255" s="9">
        <v>779.77</v>
      </c>
      <c r="J255" s="5" t="s">
        <v>33</v>
      </c>
      <c r="K255" s="10">
        <v>3800</v>
      </c>
      <c r="N255"/>
      <c r="O255"/>
    </row>
    <row r="256" spans="1:15" x14ac:dyDescent="0.35">
      <c r="A256" s="88" t="s">
        <v>11</v>
      </c>
      <c r="B256" s="7">
        <f>2026</f>
        <v>2026</v>
      </c>
      <c r="C256" s="7" t="s">
        <v>62</v>
      </c>
      <c r="D256" s="7">
        <v>49</v>
      </c>
      <c r="E256" s="7">
        <v>46187</v>
      </c>
      <c r="F256" s="7">
        <v>46188</v>
      </c>
      <c r="G256" s="8" t="s">
        <v>59</v>
      </c>
      <c r="H256" s="6" t="s">
        <v>63</v>
      </c>
      <c r="I256" s="9">
        <v>254.43</v>
      </c>
      <c r="J256" s="5" t="s">
        <v>33</v>
      </c>
      <c r="K256" s="10">
        <v>3800</v>
      </c>
      <c r="N256"/>
      <c r="O256"/>
    </row>
    <row r="257" spans="1:15" x14ac:dyDescent="0.35">
      <c r="A257" s="7" t="s">
        <v>11</v>
      </c>
      <c r="B257" s="7">
        <f>2026</f>
        <v>2026</v>
      </c>
      <c r="C257" s="7" t="s">
        <v>62</v>
      </c>
      <c r="D257" s="7">
        <v>40</v>
      </c>
      <c r="E257" s="7">
        <v>46182</v>
      </c>
      <c r="F257" s="7">
        <v>46189</v>
      </c>
      <c r="G257" s="8" t="s">
        <v>323</v>
      </c>
      <c r="H257" s="2" t="s">
        <v>16</v>
      </c>
      <c r="I257" s="9">
        <v>2894.1</v>
      </c>
      <c r="J257" s="5" t="s">
        <v>20</v>
      </c>
      <c r="K257" s="10">
        <v>4390</v>
      </c>
      <c r="N257"/>
      <c r="O257"/>
    </row>
    <row r="258" spans="1:15" x14ac:dyDescent="0.35">
      <c r="A258" s="88" t="s">
        <v>11</v>
      </c>
      <c r="B258" s="7">
        <f>2026</f>
        <v>2026</v>
      </c>
      <c r="C258" s="7" t="s">
        <v>62</v>
      </c>
      <c r="D258" s="7">
        <v>46</v>
      </c>
      <c r="E258" s="7">
        <v>46180</v>
      </c>
      <c r="F258" s="7">
        <v>42537</v>
      </c>
      <c r="G258" s="8" t="s">
        <v>58</v>
      </c>
      <c r="H258" s="6" t="s">
        <v>16</v>
      </c>
      <c r="I258" s="9">
        <v>5347.44</v>
      </c>
      <c r="J258" s="5" t="s">
        <v>17</v>
      </c>
      <c r="K258" s="10">
        <v>4750</v>
      </c>
      <c r="N258"/>
      <c r="O258"/>
    </row>
    <row r="259" spans="1:15" x14ac:dyDescent="0.35">
      <c r="A259" s="7" t="s">
        <v>11</v>
      </c>
      <c r="B259" s="7">
        <f>2026</f>
        <v>2026</v>
      </c>
      <c r="C259" s="7" t="s">
        <v>62</v>
      </c>
      <c r="D259" s="7">
        <v>55</v>
      </c>
      <c r="E259" s="7">
        <v>46187</v>
      </c>
      <c r="F259" s="7">
        <v>46190</v>
      </c>
      <c r="G259" s="8" t="s">
        <v>323</v>
      </c>
      <c r="H259" s="2" t="s">
        <v>16</v>
      </c>
      <c r="I259" s="9">
        <v>1907.5</v>
      </c>
      <c r="J259" s="5" t="s">
        <v>20</v>
      </c>
      <c r="K259" s="10">
        <v>4390</v>
      </c>
      <c r="N259"/>
      <c r="O259"/>
    </row>
    <row r="260" spans="1:15" x14ac:dyDescent="0.35">
      <c r="A260" s="88" t="s">
        <v>11</v>
      </c>
      <c r="B260" s="7">
        <f>2026</f>
        <v>2026</v>
      </c>
      <c r="C260" s="7" t="s">
        <v>62</v>
      </c>
      <c r="D260" s="7">
        <v>48</v>
      </c>
      <c r="E260" s="7">
        <v>46175</v>
      </c>
      <c r="F260" s="7">
        <v>46190</v>
      </c>
      <c r="G260" s="8" t="s">
        <v>323</v>
      </c>
      <c r="H260" s="6" t="s">
        <v>16</v>
      </c>
      <c r="I260" s="9">
        <v>2474.25</v>
      </c>
      <c r="J260" s="5" t="s">
        <v>20</v>
      </c>
      <c r="K260" s="10">
        <v>4390</v>
      </c>
      <c r="N260"/>
      <c r="O260"/>
    </row>
    <row r="261" spans="1:15" x14ac:dyDescent="0.35">
      <c r="A261" s="7" t="s">
        <v>11</v>
      </c>
      <c r="B261" s="7">
        <f>2026</f>
        <v>2026</v>
      </c>
      <c r="C261" s="7" t="s">
        <v>62</v>
      </c>
      <c r="D261" s="7">
        <v>53</v>
      </c>
      <c r="E261" s="7">
        <v>46173</v>
      </c>
      <c r="F261" s="7">
        <v>46190</v>
      </c>
      <c r="G261" s="8" t="s">
        <v>323</v>
      </c>
      <c r="H261" s="2" t="s">
        <v>16</v>
      </c>
      <c r="I261" s="9">
        <v>8747.44</v>
      </c>
      <c r="J261" s="5" t="s">
        <v>17</v>
      </c>
      <c r="K261" s="10">
        <v>4390</v>
      </c>
      <c r="N261"/>
      <c r="O261"/>
    </row>
    <row r="262" spans="1:15" x14ac:dyDescent="0.35">
      <c r="A262" s="88" t="s">
        <v>11</v>
      </c>
      <c r="B262" s="7">
        <f>2026</f>
        <v>2026</v>
      </c>
      <c r="C262" s="7" t="s">
        <v>62</v>
      </c>
      <c r="D262" s="7">
        <v>49</v>
      </c>
      <c r="E262" s="7">
        <v>46188</v>
      </c>
      <c r="F262" s="7">
        <v>46192</v>
      </c>
      <c r="G262" s="8" t="s">
        <v>323</v>
      </c>
      <c r="H262" s="6" t="s">
        <v>16</v>
      </c>
      <c r="I262" s="9">
        <v>685.92</v>
      </c>
      <c r="J262" s="5" t="s">
        <v>33</v>
      </c>
      <c r="K262" s="10">
        <v>4390</v>
      </c>
      <c r="N262"/>
      <c r="O262"/>
    </row>
    <row r="263" spans="1:15" x14ac:dyDescent="0.35">
      <c r="A263" s="7" t="s">
        <v>11</v>
      </c>
      <c r="B263" s="7">
        <f>2026</f>
        <v>2026</v>
      </c>
      <c r="C263" s="7" t="s">
        <v>62</v>
      </c>
      <c r="D263" s="7">
        <v>55</v>
      </c>
      <c r="E263" s="7">
        <v>46190</v>
      </c>
      <c r="F263" s="7">
        <v>46194</v>
      </c>
      <c r="G263" s="8" t="s">
        <v>323</v>
      </c>
      <c r="H263" s="2" t="s">
        <v>16</v>
      </c>
      <c r="I263" s="9">
        <v>1681.73</v>
      </c>
      <c r="J263" s="5" t="s">
        <v>33</v>
      </c>
      <c r="K263" s="10">
        <v>4390</v>
      </c>
      <c r="N263"/>
      <c r="O263"/>
    </row>
    <row r="264" spans="1:15" x14ac:dyDescent="0.35">
      <c r="A264" s="88" t="s">
        <v>11</v>
      </c>
      <c r="B264" s="7">
        <f>2026</f>
        <v>2026</v>
      </c>
      <c r="C264" s="7" t="s">
        <v>62</v>
      </c>
      <c r="D264" s="7">
        <v>45</v>
      </c>
      <c r="E264" s="7">
        <v>46183</v>
      </c>
      <c r="F264" s="7">
        <v>46194</v>
      </c>
      <c r="G264" s="8" t="s">
        <v>323</v>
      </c>
      <c r="H264" s="6" t="s">
        <v>16</v>
      </c>
      <c r="I264" s="9">
        <v>5983</v>
      </c>
      <c r="J264" s="5" t="s">
        <v>17</v>
      </c>
      <c r="K264" s="10">
        <v>4390</v>
      </c>
      <c r="N264"/>
      <c r="O264"/>
    </row>
    <row r="265" spans="1:15" x14ac:dyDescent="0.35">
      <c r="A265" s="7" t="s">
        <v>11</v>
      </c>
      <c r="B265" s="7">
        <f>2026</f>
        <v>2026</v>
      </c>
      <c r="C265" s="7" t="s">
        <v>62</v>
      </c>
      <c r="D265" s="7">
        <v>54</v>
      </c>
      <c r="E265" s="7">
        <v>46181</v>
      </c>
      <c r="F265" s="7">
        <v>46195</v>
      </c>
      <c r="G265" s="8" t="s">
        <v>58</v>
      </c>
      <c r="H265" s="2" t="s">
        <v>16</v>
      </c>
      <c r="I265" s="9">
        <v>7948.47</v>
      </c>
      <c r="J265" s="5" t="s">
        <v>17</v>
      </c>
      <c r="K265" s="10">
        <v>4750</v>
      </c>
      <c r="N265"/>
      <c r="O265"/>
    </row>
    <row r="266" spans="1:15" x14ac:dyDescent="0.35">
      <c r="A266" s="88" t="s">
        <v>11</v>
      </c>
      <c r="B266" s="7">
        <f>2026</f>
        <v>2026</v>
      </c>
      <c r="C266" s="7" t="s">
        <v>62</v>
      </c>
      <c r="D266" s="7">
        <v>50</v>
      </c>
      <c r="E266" s="7">
        <v>46186</v>
      </c>
      <c r="F266" s="7">
        <v>46196</v>
      </c>
      <c r="G266" s="8" t="s">
        <v>323</v>
      </c>
      <c r="H266" s="6" t="s">
        <v>16</v>
      </c>
      <c r="I266" s="9">
        <v>5008.3</v>
      </c>
      <c r="J266" s="5" t="s">
        <v>17</v>
      </c>
      <c r="K266" s="10">
        <v>4390</v>
      </c>
      <c r="N266"/>
      <c r="O266"/>
    </row>
    <row r="267" spans="1:15" x14ac:dyDescent="0.35">
      <c r="A267" s="7" t="s">
        <v>11</v>
      </c>
      <c r="B267" s="7">
        <f>2026</f>
        <v>2026</v>
      </c>
      <c r="C267" s="7" t="s">
        <v>62</v>
      </c>
      <c r="D267" s="7">
        <v>36</v>
      </c>
      <c r="E267" s="7">
        <v>46186</v>
      </c>
      <c r="F267" s="7">
        <v>46196</v>
      </c>
      <c r="G267" s="8" t="s">
        <v>323</v>
      </c>
      <c r="H267" s="2" t="s">
        <v>16</v>
      </c>
      <c r="I267" s="9">
        <v>2616.1799999999998</v>
      </c>
      <c r="J267" s="5" t="s">
        <v>20</v>
      </c>
      <c r="K267" s="10">
        <v>4390</v>
      </c>
      <c r="N267"/>
      <c r="O267"/>
    </row>
    <row r="268" spans="1:15" x14ac:dyDescent="0.35">
      <c r="A268" s="88" t="s">
        <v>11</v>
      </c>
      <c r="B268" s="7">
        <f>2026</f>
        <v>2026</v>
      </c>
      <c r="C268" s="7" t="s">
        <v>62</v>
      </c>
      <c r="D268" s="7">
        <v>49</v>
      </c>
      <c r="E268" s="7">
        <v>46192</v>
      </c>
      <c r="F268" s="7">
        <v>46197</v>
      </c>
      <c r="G268" s="8" t="s">
        <v>323</v>
      </c>
      <c r="H268" s="6" t="s">
        <v>16</v>
      </c>
      <c r="I268" s="9">
        <v>1846.57</v>
      </c>
      <c r="J268" s="5" t="s">
        <v>20</v>
      </c>
      <c r="K268" s="10">
        <v>4390</v>
      </c>
      <c r="N268"/>
      <c r="O268"/>
    </row>
    <row r="269" spans="1:15" x14ac:dyDescent="0.35">
      <c r="A269" s="7" t="s">
        <v>11</v>
      </c>
      <c r="B269" s="7">
        <f>2026</f>
        <v>2026</v>
      </c>
      <c r="C269" s="7" t="s">
        <v>62</v>
      </c>
      <c r="D269" s="7">
        <v>55</v>
      </c>
      <c r="E269" s="7">
        <v>46194</v>
      </c>
      <c r="F269" s="7">
        <v>46198</v>
      </c>
      <c r="G269" s="8" t="s">
        <v>323</v>
      </c>
      <c r="H269" s="2" t="s">
        <v>16</v>
      </c>
      <c r="I269" s="9">
        <v>1587</v>
      </c>
      <c r="J269" s="5" t="s">
        <v>20</v>
      </c>
      <c r="K269" s="10">
        <v>4390</v>
      </c>
      <c r="N269"/>
      <c r="O269"/>
    </row>
    <row r="270" spans="1:15" x14ac:dyDescent="0.35">
      <c r="A270" s="88" t="s">
        <v>11</v>
      </c>
      <c r="B270" s="7">
        <f>2026</f>
        <v>2026</v>
      </c>
      <c r="C270" s="7" t="s">
        <v>62</v>
      </c>
      <c r="D270" s="7">
        <v>40</v>
      </c>
      <c r="E270" s="7">
        <v>46189</v>
      </c>
      <c r="F270" s="7">
        <v>46197</v>
      </c>
      <c r="G270" s="8" t="s">
        <v>323</v>
      </c>
      <c r="H270" s="6" t="s">
        <v>16</v>
      </c>
      <c r="I270" s="9">
        <v>3045</v>
      </c>
      <c r="J270" s="5" t="s">
        <v>20</v>
      </c>
      <c r="K270" s="10">
        <v>4390</v>
      </c>
      <c r="N270"/>
      <c r="O270"/>
    </row>
    <row r="271" spans="1:15" x14ac:dyDescent="0.35">
      <c r="A271" s="7" t="s">
        <v>11</v>
      </c>
      <c r="B271" s="7">
        <f>2026</f>
        <v>2026</v>
      </c>
      <c r="C271" s="7" t="s">
        <v>62</v>
      </c>
      <c r="D271" s="7">
        <v>49</v>
      </c>
      <c r="E271" s="7">
        <v>46197</v>
      </c>
      <c r="F271" s="7">
        <v>46199</v>
      </c>
      <c r="G271" s="8" t="s">
        <v>65</v>
      </c>
      <c r="H271" s="2" t="s">
        <v>63</v>
      </c>
      <c r="I271" s="9">
        <v>439.35</v>
      </c>
      <c r="J271" s="5" t="s">
        <v>33</v>
      </c>
      <c r="K271" s="10">
        <v>3750</v>
      </c>
      <c r="N271"/>
      <c r="O271"/>
    </row>
    <row r="272" spans="1:15" x14ac:dyDescent="0.35">
      <c r="A272" s="88" t="s">
        <v>11</v>
      </c>
      <c r="B272" s="7">
        <f>2026</f>
        <v>2026</v>
      </c>
      <c r="C272" s="7" t="s">
        <v>62</v>
      </c>
      <c r="D272" s="7">
        <v>46</v>
      </c>
      <c r="E272" s="7">
        <v>46189</v>
      </c>
      <c r="F272" s="7">
        <v>46199</v>
      </c>
      <c r="G272" s="8" t="s">
        <v>323</v>
      </c>
      <c r="H272" s="6" t="s">
        <v>16</v>
      </c>
      <c r="I272" s="9">
        <v>4716.13</v>
      </c>
      <c r="J272" s="5" t="s">
        <v>17</v>
      </c>
      <c r="K272" s="10">
        <v>4390</v>
      </c>
      <c r="N272"/>
      <c r="O272"/>
    </row>
    <row r="273" spans="1:15" x14ac:dyDescent="0.35">
      <c r="A273" s="7" t="s">
        <v>11</v>
      </c>
      <c r="B273" s="7">
        <f>2026</f>
        <v>2026</v>
      </c>
      <c r="C273" s="7" t="s">
        <v>62</v>
      </c>
      <c r="D273" s="7">
        <v>44</v>
      </c>
      <c r="E273" s="7">
        <v>46188</v>
      </c>
      <c r="F273" s="7">
        <v>46200</v>
      </c>
      <c r="G273" s="8" t="s">
        <v>323</v>
      </c>
      <c r="H273" s="2" t="s">
        <v>16</v>
      </c>
      <c r="I273" s="9">
        <v>5418.56</v>
      </c>
      <c r="J273" s="5" t="s">
        <v>17</v>
      </c>
      <c r="K273" s="10">
        <v>4390</v>
      </c>
      <c r="N273"/>
      <c r="O273"/>
    </row>
    <row r="274" spans="1:15" x14ac:dyDescent="0.35">
      <c r="A274" s="88" t="s">
        <v>11</v>
      </c>
      <c r="B274" s="7">
        <f>2026</f>
        <v>2026</v>
      </c>
      <c r="C274" s="7" t="s">
        <v>62</v>
      </c>
      <c r="D274" s="7">
        <v>53</v>
      </c>
      <c r="E274" s="7">
        <v>46190</v>
      </c>
      <c r="F274" s="7">
        <v>46199</v>
      </c>
      <c r="G274" s="8" t="s">
        <v>323</v>
      </c>
      <c r="H274" s="6" t="s">
        <v>16</v>
      </c>
      <c r="I274" s="9">
        <v>4052.42</v>
      </c>
      <c r="J274" s="5" t="s">
        <v>17</v>
      </c>
      <c r="K274" s="10">
        <v>4390</v>
      </c>
      <c r="N274"/>
      <c r="O274"/>
    </row>
    <row r="275" spans="1:15" x14ac:dyDescent="0.35">
      <c r="A275" s="7" t="s">
        <v>11</v>
      </c>
      <c r="B275" s="7">
        <f>2026</f>
        <v>2026</v>
      </c>
      <c r="C275" s="7" t="s">
        <v>62</v>
      </c>
      <c r="D275" s="7">
        <v>47</v>
      </c>
      <c r="E275" s="7">
        <v>46188</v>
      </c>
      <c r="F275" s="7">
        <v>46200</v>
      </c>
      <c r="G275" s="8" t="s">
        <v>323</v>
      </c>
      <c r="H275" s="2" t="s">
        <v>16</v>
      </c>
      <c r="I275" s="9">
        <v>3518.64</v>
      </c>
      <c r="J275" s="5" t="s">
        <v>20</v>
      </c>
      <c r="K275" s="10">
        <v>4390</v>
      </c>
      <c r="N275"/>
      <c r="O275"/>
    </row>
    <row r="276" spans="1:15" x14ac:dyDescent="0.35">
      <c r="A276" s="88" t="s">
        <v>11</v>
      </c>
      <c r="B276" s="7">
        <f>2026</f>
        <v>2026</v>
      </c>
      <c r="C276" s="7" t="s">
        <v>62</v>
      </c>
      <c r="D276" s="7">
        <v>55</v>
      </c>
      <c r="E276" s="7">
        <v>46198</v>
      </c>
      <c r="F276" s="7">
        <v>46200</v>
      </c>
      <c r="G276" s="8" t="s">
        <v>323</v>
      </c>
      <c r="H276" s="6" t="s">
        <v>16</v>
      </c>
      <c r="I276" s="9">
        <v>1200.3</v>
      </c>
      <c r="J276" s="5" t="s">
        <v>20</v>
      </c>
      <c r="K276" s="10">
        <v>4390</v>
      </c>
      <c r="N276"/>
      <c r="O276"/>
    </row>
    <row r="277" spans="1:15" x14ac:dyDescent="0.35">
      <c r="A277" s="7" t="s">
        <v>11</v>
      </c>
      <c r="B277" s="7">
        <f>2026</f>
        <v>2026</v>
      </c>
      <c r="C277" s="7" t="s">
        <v>62</v>
      </c>
      <c r="D277" s="7">
        <v>49</v>
      </c>
      <c r="E277" s="7">
        <v>46199</v>
      </c>
      <c r="F277" s="7">
        <v>46201</v>
      </c>
      <c r="G277" s="8" t="s">
        <v>65</v>
      </c>
      <c r="H277" s="2" t="s">
        <v>63</v>
      </c>
      <c r="I277" s="9">
        <v>670.94</v>
      </c>
      <c r="J277" s="5" t="s">
        <v>20</v>
      </c>
      <c r="K277" s="10">
        <v>3750</v>
      </c>
      <c r="N277"/>
      <c r="O277"/>
    </row>
    <row r="278" spans="1:15" x14ac:dyDescent="0.35">
      <c r="A278" s="88" t="s">
        <v>11</v>
      </c>
      <c r="B278" s="7">
        <f>2026</f>
        <v>2026</v>
      </c>
      <c r="C278" s="7" t="s">
        <v>62</v>
      </c>
      <c r="D278" s="7">
        <v>50</v>
      </c>
      <c r="E278" s="7">
        <v>46196</v>
      </c>
      <c r="F278" s="7">
        <v>46201</v>
      </c>
      <c r="G278" s="8" t="s">
        <v>323</v>
      </c>
      <c r="H278" s="6" t="s">
        <v>16</v>
      </c>
      <c r="I278" s="9">
        <v>2872.66</v>
      </c>
      <c r="J278" s="5" t="s">
        <v>33</v>
      </c>
      <c r="K278" s="10">
        <v>4390</v>
      </c>
      <c r="N278"/>
      <c r="O278"/>
    </row>
    <row r="279" spans="1:15" x14ac:dyDescent="0.35">
      <c r="A279" s="7" t="s">
        <v>11</v>
      </c>
      <c r="B279" s="7">
        <f>2026</f>
        <v>2026</v>
      </c>
      <c r="C279" s="7" t="s">
        <v>62</v>
      </c>
      <c r="D279" s="7">
        <v>41</v>
      </c>
      <c r="E279" s="7">
        <v>46185</v>
      </c>
      <c r="F279" s="7">
        <v>46202</v>
      </c>
      <c r="G279" s="8" t="s">
        <v>323</v>
      </c>
      <c r="H279" s="2" t="s">
        <v>16</v>
      </c>
      <c r="I279" s="9">
        <v>7465.02</v>
      </c>
      <c r="J279" s="5" t="s">
        <v>17</v>
      </c>
      <c r="K279" s="10">
        <v>4390</v>
      </c>
      <c r="N279"/>
      <c r="O279"/>
    </row>
    <row r="280" spans="1:15" x14ac:dyDescent="0.35">
      <c r="A280" s="88" t="s">
        <v>11</v>
      </c>
      <c r="B280" s="7">
        <f>2026</f>
        <v>2026</v>
      </c>
      <c r="C280" s="7" t="s">
        <v>62</v>
      </c>
      <c r="D280" s="7">
        <v>55</v>
      </c>
      <c r="E280" s="7">
        <v>46200</v>
      </c>
      <c r="F280" s="7">
        <v>46203</v>
      </c>
      <c r="G280" s="8" t="s">
        <v>58</v>
      </c>
      <c r="H280" s="6" t="s">
        <v>16</v>
      </c>
      <c r="I280" s="9">
        <v>1182.5999999999999</v>
      </c>
      <c r="J280" s="5" t="s">
        <v>20</v>
      </c>
      <c r="K280" s="10">
        <v>4750</v>
      </c>
      <c r="N280"/>
      <c r="O280"/>
    </row>
    <row r="281" spans="1:15" x14ac:dyDescent="0.35">
      <c r="A281" s="7" t="s">
        <v>11</v>
      </c>
      <c r="B281" s="7">
        <f>2026</f>
        <v>2026</v>
      </c>
      <c r="C281" s="7" t="s">
        <v>66</v>
      </c>
      <c r="D281" s="7">
        <v>49</v>
      </c>
      <c r="E281" s="7">
        <v>46201</v>
      </c>
      <c r="F281" s="7">
        <v>46204</v>
      </c>
      <c r="G281" s="8" t="s">
        <v>65</v>
      </c>
      <c r="H281" s="2" t="s">
        <v>63</v>
      </c>
      <c r="I281" s="9">
        <v>351.86</v>
      </c>
      <c r="J281" s="5" t="s">
        <v>20</v>
      </c>
      <c r="K281" s="10">
        <v>3750</v>
      </c>
      <c r="N281"/>
      <c r="O281"/>
    </row>
    <row r="282" spans="1:15" x14ac:dyDescent="0.35">
      <c r="A282" s="88" t="s">
        <v>11</v>
      </c>
      <c r="B282" s="7">
        <f>2026</f>
        <v>2026</v>
      </c>
      <c r="C282" s="7" t="s">
        <v>66</v>
      </c>
      <c r="D282" s="7">
        <v>48</v>
      </c>
      <c r="E282" s="7">
        <v>46190</v>
      </c>
      <c r="F282" s="7">
        <v>46206</v>
      </c>
      <c r="G282" s="8" t="s">
        <v>323</v>
      </c>
      <c r="H282" s="6" t="s">
        <v>16</v>
      </c>
      <c r="I282" s="9">
        <v>3972.04</v>
      </c>
      <c r="J282" s="5" t="s">
        <v>17</v>
      </c>
      <c r="K282" s="10">
        <v>4390</v>
      </c>
      <c r="N282"/>
      <c r="O282"/>
    </row>
    <row r="283" spans="1:15" x14ac:dyDescent="0.35">
      <c r="A283" s="7" t="s">
        <v>11</v>
      </c>
      <c r="B283" s="7">
        <f>2026</f>
        <v>2026</v>
      </c>
      <c r="C283" s="7" t="s">
        <v>66</v>
      </c>
      <c r="D283" s="7">
        <v>47</v>
      </c>
      <c r="E283" s="7">
        <v>46200</v>
      </c>
      <c r="F283" s="7">
        <v>46206</v>
      </c>
      <c r="G283" s="8" t="s">
        <v>65</v>
      </c>
      <c r="H283" s="2" t="s">
        <v>63</v>
      </c>
      <c r="I283" s="9">
        <v>1144.92</v>
      </c>
      <c r="J283" s="5" t="s">
        <v>20</v>
      </c>
      <c r="K283" s="10">
        <v>3750</v>
      </c>
      <c r="N283"/>
      <c r="O283"/>
    </row>
    <row r="284" spans="1:15" x14ac:dyDescent="0.35">
      <c r="A284" s="88" t="s">
        <v>11</v>
      </c>
      <c r="B284" s="7">
        <f>2026</f>
        <v>2026</v>
      </c>
      <c r="C284" s="7" t="s">
        <v>66</v>
      </c>
      <c r="D284" s="7">
        <v>54</v>
      </c>
      <c r="E284" s="7">
        <v>46195</v>
      </c>
      <c r="F284" s="7">
        <v>46205</v>
      </c>
      <c r="G284" s="8" t="s">
        <v>323</v>
      </c>
      <c r="H284" s="6" t="s">
        <v>16</v>
      </c>
      <c r="I284" s="9">
        <v>4974.22</v>
      </c>
      <c r="J284" s="5" t="s">
        <v>17</v>
      </c>
      <c r="K284" s="10">
        <v>4390</v>
      </c>
      <c r="N284"/>
      <c r="O284"/>
    </row>
    <row r="285" spans="1:15" x14ac:dyDescent="0.35">
      <c r="A285" s="7" t="s">
        <v>11</v>
      </c>
      <c r="B285" s="7">
        <f>2026</f>
        <v>2026</v>
      </c>
      <c r="C285" s="7" t="s">
        <v>66</v>
      </c>
      <c r="D285" s="7">
        <v>37</v>
      </c>
      <c r="E285" s="7">
        <v>46186</v>
      </c>
      <c r="F285" s="7">
        <v>46205</v>
      </c>
      <c r="G285" s="8" t="s">
        <v>323</v>
      </c>
      <c r="H285" s="2" t="s">
        <v>16</v>
      </c>
      <c r="I285" s="9">
        <v>1897.01</v>
      </c>
      <c r="J285" s="5" t="s">
        <v>20</v>
      </c>
      <c r="K285" s="10">
        <v>4390</v>
      </c>
      <c r="N285"/>
      <c r="O285"/>
    </row>
    <row r="286" spans="1:15" x14ac:dyDescent="0.35">
      <c r="A286" s="88" t="s">
        <v>11</v>
      </c>
      <c r="B286" s="7">
        <f>2026</f>
        <v>2026</v>
      </c>
      <c r="C286" s="7" t="s">
        <v>66</v>
      </c>
      <c r="D286" s="7">
        <v>49</v>
      </c>
      <c r="E286" s="7">
        <v>46204</v>
      </c>
      <c r="F286" s="7">
        <v>46206</v>
      </c>
      <c r="G286" s="8" t="s">
        <v>65</v>
      </c>
      <c r="H286" s="6" t="s">
        <v>63</v>
      </c>
      <c r="I286" s="9">
        <v>624.05999999999995</v>
      </c>
      <c r="J286" s="5" t="s">
        <v>33</v>
      </c>
      <c r="K286" s="10">
        <v>3750</v>
      </c>
      <c r="N286"/>
      <c r="O286"/>
    </row>
    <row r="287" spans="1:15" x14ac:dyDescent="0.35">
      <c r="A287" s="7" t="s">
        <v>11</v>
      </c>
      <c r="B287" s="7">
        <f>2026</f>
        <v>2026</v>
      </c>
      <c r="C287" s="7" t="s">
        <v>66</v>
      </c>
      <c r="D287" s="7">
        <v>40</v>
      </c>
      <c r="E287" s="7">
        <v>46197</v>
      </c>
      <c r="F287" s="7">
        <v>46208</v>
      </c>
      <c r="G287" s="8" t="s">
        <v>58</v>
      </c>
      <c r="H287" s="2" t="s">
        <v>16</v>
      </c>
      <c r="I287" s="9">
        <v>3663.41</v>
      </c>
      <c r="J287" s="5" t="s">
        <v>17</v>
      </c>
      <c r="K287" s="10">
        <v>4750</v>
      </c>
      <c r="N287"/>
      <c r="O287"/>
    </row>
    <row r="288" spans="1:15" x14ac:dyDescent="0.35">
      <c r="A288" s="88" t="s">
        <v>11</v>
      </c>
      <c r="B288" s="7">
        <f>2026</f>
        <v>2026</v>
      </c>
      <c r="C288" s="7" t="s">
        <v>66</v>
      </c>
      <c r="D288" s="7">
        <v>53</v>
      </c>
      <c r="E288" s="7">
        <v>46199</v>
      </c>
      <c r="F288" s="7">
        <v>46207</v>
      </c>
      <c r="G288" s="8" t="s">
        <v>58</v>
      </c>
      <c r="H288" s="6" t="s">
        <v>16</v>
      </c>
      <c r="I288" s="9">
        <v>5693.59</v>
      </c>
      <c r="J288" s="5" t="s">
        <v>17</v>
      </c>
      <c r="K288" s="10">
        <v>4750</v>
      </c>
      <c r="N288"/>
      <c r="O288"/>
    </row>
    <row r="289" spans="1:15" x14ac:dyDescent="0.35">
      <c r="A289" s="7" t="s">
        <v>11</v>
      </c>
      <c r="B289" s="7">
        <f>2026</f>
        <v>2026</v>
      </c>
      <c r="C289" s="7" t="s">
        <v>66</v>
      </c>
      <c r="D289" s="7">
        <v>44</v>
      </c>
      <c r="E289" s="7">
        <v>37434</v>
      </c>
      <c r="F289" s="7">
        <v>46207</v>
      </c>
      <c r="G289" s="8" t="s">
        <v>58</v>
      </c>
      <c r="H289" s="2" t="s">
        <v>16</v>
      </c>
      <c r="I289" s="9">
        <v>3639.57</v>
      </c>
      <c r="J289" s="5" t="s">
        <v>17</v>
      </c>
      <c r="K289" s="10">
        <v>4750</v>
      </c>
      <c r="N289"/>
      <c r="O289"/>
    </row>
    <row r="290" spans="1:15" x14ac:dyDescent="0.35">
      <c r="A290" s="88" t="s">
        <v>11</v>
      </c>
      <c r="B290" s="7">
        <f>2026</f>
        <v>2026</v>
      </c>
      <c r="C290" s="7" t="s">
        <v>66</v>
      </c>
      <c r="D290" s="7">
        <v>45</v>
      </c>
      <c r="E290" s="7">
        <v>46194</v>
      </c>
      <c r="F290" s="7">
        <v>46209</v>
      </c>
      <c r="G290" s="8" t="s">
        <v>323</v>
      </c>
      <c r="H290" s="6" t="s">
        <v>16</v>
      </c>
      <c r="I290" s="9">
        <v>6231</v>
      </c>
      <c r="J290" s="5" t="s">
        <v>17</v>
      </c>
      <c r="K290" s="10">
        <v>4390</v>
      </c>
      <c r="N290"/>
      <c r="O290"/>
    </row>
    <row r="291" spans="1:15" x14ac:dyDescent="0.35">
      <c r="A291" s="7" t="s">
        <v>11</v>
      </c>
      <c r="B291" s="7">
        <f>2026</f>
        <v>2026</v>
      </c>
      <c r="C291" s="7" t="s">
        <v>66</v>
      </c>
      <c r="D291" s="7">
        <v>55</v>
      </c>
      <c r="E291" s="7">
        <v>46203</v>
      </c>
      <c r="F291" s="7">
        <v>46210</v>
      </c>
      <c r="G291" s="8" t="s">
        <v>58</v>
      </c>
      <c r="H291" s="2" t="s">
        <v>16</v>
      </c>
      <c r="I291" s="9">
        <v>3494.98</v>
      </c>
      <c r="J291" s="5" t="s">
        <v>20</v>
      </c>
      <c r="K291" s="10">
        <v>4750</v>
      </c>
      <c r="N291"/>
      <c r="O291"/>
    </row>
    <row r="292" spans="1:15" x14ac:dyDescent="0.35">
      <c r="A292" s="88" t="s">
        <v>11</v>
      </c>
      <c r="B292" s="7">
        <f>2026</f>
        <v>2026</v>
      </c>
      <c r="C292" s="7" t="s">
        <v>66</v>
      </c>
      <c r="D292" s="7">
        <v>47</v>
      </c>
      <c r="E292" s="7">
        <v>46206</v>
      </c>
      <c r="F292" s="7">
        <v>46210</v>
      </c>
      <c r="G292" s="8" t="s">
        <v>65</v>
      </c>
      <c r="H292" s="6" t="s">
        <v>63</v>
      </c>
      <c r="I292" s="9">
        <v>1170.22</v>
      </c>
      <c r="J292" s="5" t="s">
        <v>20</v>
      </c>
      <c r="K292" s="10">
        <v>3750</v>
      </c>
      <c r="N292"/>
      <c r="O292"/>
    </row>
    <row r="293" spans="1:15" x14ac:dyDescent="0.35">
      <c r="A293" s="7" t="s">
        <v>11</v>
      </c>
      <c r="B293" s="7">
        <f>2026</f>
        <v>2026</v>
      </c>
      <c r="C293" s="7" t="s">
        <v>66</v>
      </c>
      <c r="D293" s="7">
        <v>54</v>
      </c>
      <c r="E293" s="7">
        <v>46205</v>
      </c>
      <c r="F293" s="7">
        <v>46210</v>
      </c>
      <c r="G293" s="8" t="s">
        <v>64</v>
      </c>
      <c r="H293" s="2" t="s">
        <v>16</v>
      </c>
      <c r="I293" s="9">
        <v>2572.17</v>
      </c>
      <c r="J293" s="5" t="s">
        <v>20</v>
      </c>
      <c r="K293" s="10">
        <v>2775.03</v>
      </c>
      <c r="N293"/>
      <c r="O293"/>
    </row>
    <row r="294" spans="1:15" x14ac:dyDescent="0.35">
      <c r="A294" s="88" t="s">
        <v>11</v>
      </c>
      <c r="B294" s="7">
        <f>2026</f>
        <v>2026</v>
      </c>
      <c r="C294" s="7" t="s">
        <v>66</v>
      </c>
      <c r="D294" s="7">
        <v>36</v>
      </c>
      <c r="E294" s="7">
        <v>46199</v>
      </c>
      <c r="F294" s="7">
        <v>46210</v>
      </c>
      <c r="G294" s="8" t="s">
        <v>323</v>
      </c>
      <c r="H294" s="6" t="s">
        <v>16</v>
      </c>
      <c r="I294" s="9">
        <v>3869.4</v>
      </c>
      <c r="J294" s="5" t="s">
        <v>17</v>
      </c>
      <c r="K294" s="10">
        <v>4390</v>
      </c>
      <c r="N294"/>
      <c r="O294"/>
    </row>
    <row r="295" spans="1:15" x14ac:dyDescent="0.35">
      <c r="A295" s="7" t="s">
        <v>11</v>
      </c>
      <c r="B295" s="7">
        <f>2026</f>
        <v>2026</v>
      </c>
      <c r="C295" s="7" t="s">
        <v>66</v>
      </c>
      <c r="D295" s="7">
        <v>49</v>
      </c>
      <c r="E295" s="7">
        <v>46206</v>
      </c>
      <c r="F295" s="7">
        <v>46210</v>
      </c>
      <c r="G295" s="8" t="s">
        <v>65</v>
      </c>
      <c r="H295" s="2" t="s">
        <v>63</v>
      </c>
      <c r="I295" s="9">
        <v>488.88</v>
      </c>
      <c r="J295" s="5" t="s">
        <v>33</v>
      </c>
      <c r="K295" s="10">
        <v>3750</v>
      </c>
      <c r="N295"/>
      <c r="O295"/>
    </row>
    <row r="296" spans="1:15" x14ac:dyDescent="0.35">
      <c r="A296" s="88" t="s">
        <v>11</v>
      </c>
      <c r="B296" s="7">
        <f>2026</f>
        <v>2026</v>
      </c>
      <c r="C296" s="7" t="s">
        <v>66</v>
      </c>
      <c r="D296" s="7">
        <v>46</v>
      </c>
      <c r="E296" s="7">
        <v>46199</v>
      </c>
      <c r="F296" s="7">
        <v>46210</v>
      </c>
      <c r="G296" s="8" t="s">
        <v>58</v>
      </c>
      <c r="H296" s="6" t="s">
        <v>16</v>
      </c>
      <c r="I296" s="9">
        <v>4506.5</v>
      </c>
      <c r="J296" s="5" t="s">
        <v>17</v>
      </c>
      <c r="K296" s="10">
        <v>4750</v>
      </c>
      <c r="N296"/>
      <c r="O296"/>
    </row>
    <row r="297" spans="1:15" x14ac:dyDescent="0.35">
      <c r="A297" s="7" t="s">
        <v>11</v>
      </c>
      <c r="B297" s="7">
        <f>2026</f>
        <v>2026</v>
      </c>
      <c r="C297" s="7" t="s">
        <v>66</v>
      </c>
      <c r="D297" s="7">
        <v>50</v>
      </c>
      <c r="E297" s="7">
        <v>46201</v>
      </c>
      <c r="F297" s="7">
        <v>46212</v>
      </c>
      <c r="G297" s="8" t="s">
        <v>323</v>
      </c>
      <c r="H297" s="2" t="s">
        <v>16</v>
      </c>
      <c r="I297" s="9">
        <v>5748.1</v>
      </c>
      <c r="J297" s="5" t="s">
        <v>17</v>
      </c>
      <c r="K297" s="10">
        <v>4390</v>
      </c>
      <c r="N297"/>
      <c r="O297"/>
    </row>
    <row r="298" spans="1:15" x14ac:dyDescent="0.35">
      <c r="A298" s="88" t="s">
        <v>11</v>
      </c>
      <c r="B298" s="7">
        <f>2026</f>
        <v>2026</v>
      </c>
      <c r="C298" s="7" t="s">
        <v>66</v>
      </c>
      <c r="D298" s="7">
        <v>37</v>
      </c>
      <c r="E298" s="7">
        <v>46205</v>
      </c>
      <c r="F298" s="7">
        <v>46213</v>
      </c>
      <c r="G298" s="8" t="s">
        <v>58</v>
      </c>
      <c r="H298" s="6" t="s">
        <v>16</v>
      </c>
      <c r="I298" s="9">
        <v>874</v>
      </c>
      <c r="J298" s="5" t="s">
        <v>20</v>
      </c>
      <c r="K298" s="10">
        <v>4750</v>
      </c>
      <c r="N298"/>
      <c r="O298"/>
    </row>
    <row r="299" spans="1:15" x14ac:dyDescent="0.35">
      <c r="A299" s="7" t="s">
        <v>11</v>
      </c>
      <c r="B299" s="7">
        <f>2026</f>
        <v>2026</v>
      </c>
      <c r="C299" s="7" t="s">
        <v>66</v>
      </c>
      <c r="D299" s="7">
        <v>53</v>
      </c>
      <c r="E299" s="7">
        <v>46207</v>
      </c>
      <c r="F299" s="7">
        <v>46215</v>
      </c>
      <c r="G299" s="8" t="s">
        <v>64</v>
      </c>
      <c r="H299" s="2" t="s">
        <v>16</v>
      </c>
      <c r="I299" s="9">
        <v>4092.67</v>
      </c>
      <c r="J299" s="5" t="s">
        <v>17</v>
      </c>
      <c r="K299" s="10">
        <v>2775.03</v>
      </c>
      <c r="N299"/>
      <c r="O299"/>
    </row>
    <row r="300" spans="1:15" x14ac:dyDescent="0.35">
      <c r="A300" s="88" t="s">
        <v>11</v>
      </c>
      <c r="B300" s="7">
        <f>2026</f>
        <v>2026</v>
      </c>
      <c r="C300" s="7" t="s">
        <v>66</v>
      </c>
      <c r="D300" s="7">
        <v>49</v>
      </c>
      <c r="E300" s="7">
        <v>46210</v>
      </c>
      <c r="F300" s="7">
        <v>46215</v>
      </c>
      <c r="G300" s="8" t="s">
        <v>323</v>
      </c>
      <c r="H300" s="6" t="s">
        <v>63</v>
      </c>
      <c r="I300" s="9">
        <v>1169.73</v>
      </c>
      <c r="J300" s="5" t="s">
        <v>20</v>
      </c>
      <c r="K300" s="10">
        <v>3950</v>
      </c>
      <c r="N300"/>
      <c r="O300"/>
    </row>
    <row r="301" spans="1:15" x14ac:dyDescent="0.35">
      <c r="A301" s="7" t="s">
        <v>11</v>
      </c>
      <c r="B301" s="7">
        <f>2026</f>
        <v>2026</v>
      </c>
      <c r="C301" s="7" t="s">
        <v>66</v>
      </c>
      <c r="D301" s="7">
        <v>47</v>
      </c>
      <c r="E301" s="7">
        <v>46215</v>
      </c>
      <c r="F301" s="7">
        <v>46215</v>
      </c>
      <c r="G301" s="8" t="s">
        <v>323</v>
      </c>
      <c r="H301" s="2" t="s">
        <v>63</v>
      </c>
      <c r="I301" s="9">
        <v>1617.76</v>
      </c>
      <c r="J301" s="5" t="s">
        <v>20</v>
      </c>
      <c r="K301" s="10">
        <v>3950</v>
      </c>
      <c r="N301"/>
      <c r="O301"/>
    </row>
    <row r="302" spans="1:15" x14ac:dyDescent="0.35">
      <c r="A302" s="88" t="s">
        <v>11</v>
      </c>
      <c r="B302" s="7">
        <f>2026</f>
        <v>2026</v>
      </c>
      <c r="C302" s="7" t="s">
        <v>66</v>
      </c>
      <c r="D302" s="7">
        <v>37</v>
      </c>
      <c r="E302" s="7">
        <v>46213</v>
      </c>
      <c r="F302" s="7">
        <v>46216</v>
      </c>
      <c r="G302" s="8" t="s">
        <v>58</v>
      </c>
      <c r="H302" s="6" t="s">
        <v>16</v>
      </c>
      <c r="I302" s="9">
        <v>1008</v>
      </c>
      <c r="J302" s="5" t="s">
        <v>20</v>
      </c>
      <c r="K302" s="10">
        <v>4750</v>
      </c>
      <c r="N302"/>
      <c r="O302"/>
    </row>
    <row r="303" spans="1:15" x14ac:dyDescent="0.35">
      <c r="A303" s="7" t="s">
        <v>11</v>
      </c>
      <c r="B303" s="7">
        <f>2026</f>
        <v>2026</v>
      </c>
      <c r="C303" s="7" t="s">
        <v>66</v>
      </c>
      <c r="D303" s="7">
        <v>40</v>
      </c>
      <c r="E303" s="7">
        <v>46208</v>
      </c>
      <c r="F303" s="7">
        <v>46217</v>
      </c>
      <c r="G303" s="8" t="s">
        <v>58</v>
      </c>
      <c r="H303" s="2" t="s">
        <v>16</v>
      </c>
      <c r="I303" s="9">
        <v>4855.34</v>
      </c>
      <c r="J303" s="5" t="s">
        <v>17</v>
      </c>
      <c r="K303" s="10">
        <v>4750</v>
      </c>
      <c r="N303"/>
      <c r="O303"/>
    </row>
    <row r="304" spans="1:15" x14ac:dyDescent="0.35">
      <c r="A304" s="88" t="s">
        <v>11</v>
      </c>
      <c r="B304" s="7">
        <f>2026</f>
        <v>2026</v>
      </c>
      <c r="C304" s="7" t="s">
        <v>66</v>
      </c>
      <c r="D304" s="7">
        <v>47</v>
      </c>
      <c r="E304" s="7">
        <v>46215</v>
      </c>
      <c r="F304" s="7">
        <v>46216</v>
      </c>
      <c r="G304" s="8" t="s">
        <v>65</v>
      </c>
      <c r="H304" s="6" t="s">
        <v>63</v>
      </c>
      <c r="I304" s="9">
        <v>360.76</v>
      </c>
      <c r="J304" s="5" t="s">
        <v>33</v>
      </c>
      <c r="K304" s="10">
        <v>3750</v>
      </c>
      <c r="N304"/>
    </row>
    <row r="305" spans="1:11" x14ac:dyDescent="0.35">
      <c r="A305" s="7" t="s">
        <v>11</v>
      </c>
      <c r="B305" s="7">
        <f>2026</f>
        <v>2026</v>
      </c>
      <c r="C305" s="7" t="s">
        <v>66</v>
      </c>
      <c r="D305" s="7">
        <v>49</v>
      </c>
      <c r="E305" s="7">
        <v>46215</v>
      </c>
      <c r="F305" s="7">
        <v>46217</v>
      </c>
      <c r="G305" s="8" t="s">
        <v>65</v>
      </c>
      <c r="H305" s="2" t="s">
        <v>63</v>
      </c>
      <c r="I305" s="9">
        <v>457.63</v>
      </c>
      <c r="J305" s="5" t="s">
        <v>20</v>
      </c>
      <c r="K305" s="10">
        <v>3750</v>
      </c>
    </row>
    <row r="306" spans="1:11" x14ac:dyDescent="0.35">
      <c r="A306" s="88" t="s">
        <v>11</v>
      </c>
      <c r="B306" s="7">
        <f>2026</f>
        <v>2026</v>
      </c>
      <c r="C306" s="7" t="s">
        <v>66</v>
      </c>
      <c r="D306" s="7">
        <v>54</v>
      </c>
      <c r="E306" s="7">
        <v>46211</v>
      </c>
      <c r="F306" s="7">
        <v>46219</v>
      </c>
      <c r="G306" s="8" t="s">
        <v>64</v>
      </c>
      <c r="H306" s="6" t="s">
        <v>16</v>
      </c>
      <c r="I306" s="9">
        <v>4765.22</v>
      </c>
      <c r="J306" s="5" t="s">
        <v>17</v>
      </c>
      <c r="K306" s="10">
        <v>2775.03</v>
      </c>
    </row>
    <row r="307" spans="1:11" x14ac:dyDescent="0.35">
      <c r="A307" s="7" t="s">
        <v>11</v>
      </c>
      <c r="B307" s="7">
        <f>2026</f>
        <v>2026</v>
      </c>
      <c r="C307" s="7" t="s">
        <v>66</v>
      </c>
      <c r="D307" s="7">
        <v>44</v>
      </c>
      <c r="E307" s="7">
        <v>46207</v>
      </c>
      <c r="F307" s="7">
        <v>46220</v>
      </c>
      <c r="G307" s="8" t="s">
        <v>58</v>
      </c>
      <c r="H307" s="2" t="s">
        <v>16</v>
      </c>
      <c r="I307" s="9">
        <v>6694.79</v>
      </c>
      <c r="J307" s="5" t="s">
        <v>17</v>
      </c>
      <c r="K307" s="10">
        <v>4750</v>
      </c>
    </row>
    <row r="308" spans="1:11" x14ac:dyDescent="0.35">
      <c r="A308" s="88" t="s">
        <v>11</v>
      </c>
      <c r="B308" s="7">
        <f>2026</f>
        <v>2026</v>
      </c>
      <c r="C308" s="7" t="s">
        <v>66</v>
      </c>
      <c r="D308" s="7">
        <v>55</v>
      </c>
      <c r="E308" s="7">
        <v>46210</v>
      </c>
      <c r="F308" s="7">
        <v>46220</v>
      </c>
      <c r="G308" s="8" t="s">
        <v>58</v>
      </c>
      <c r="H308" s="6" t="s">
        <v>16</v>
      </c>
      <c r="I308" s="9">
        <v>6540</v>
      </c>
      <c r="J308" s="5" t="s">
        <v>17</v>
      </c>
      <c r="K308" s="10">
        <v>4750</v>
      </c>
    </row>
    <row r="309" spans="1:11" x14ac:dyDescent="0.35">
      <c r="A309" s="7" t="s">
        <v>11</v>
      </c>
      <c r="B309" s="7">
        <f>2026</f>
        <v>2026</v>
      </c>
      <c r="C309" s="7" t="s">
        <v>66</v>
      </c>
      <c r="D309" s="7">
        <v>36</v>
      </c>
      <c r="E309" s="7">
        <v>46210</v>
      </c>
      <c r="F309" s="7">
        <v>46220</v>
      </c>
      <c r="G309" s="8" t="s">
        <v>323</v>
      </c>
      <c r="H309" s="2" t="s">
        <v>16</v>
      </c>
      <c r="I309" s="9">
        <v>4136.33</v>
      </c>
      <c r="J309" s="5" t="s">
        <v>17</v>
      </c>
      <c r="K309" s="10">
        <v>4390</v>
      </c>
    </row>
    <row r="310" spans="1:11" x14ac:dyDescent="0.35">
      <c r="A310" s="88" t="s">
        <v>11</v>
      </c>
      <c r="B310" s="7">
        <f>2026</f>
        <v>2026</v>
      </c>
      <c r="C310" s="7" t="s">
        <v>66</v>
      </c>
      <c r="D310" s="7">
        <v>47</v>
      </c>
      <c r="E310" s="7">
        <v>46216</v>
      </c>
      <c r="F310" s="7">
        <v>46220</v>
      </c>
      <c r="G310" s="8" t="s">
        <v>323</v>
      </c>
      <c r="H310" s="6" t="s">
        <v>16</v>
      </c>
      <c r="I310" s="9">
        <v>1483.79</v>
      </c>
      <c r="J310" s="5" t="s">
        <v>20</v>
      </c>
      <c r="K310" s="10">
        <v>4390</v>
      </c>
    </row>
    <row r="311" spans="1:11" x14ac:dyDescent="0.35">
      <c r="A311" s="7" t="s">
        <v>11</v>
      </c>
      <c r="B311" s="7">
        <f>2026</f>
        <v>2026</v>
      </c>
      <c r="C311" s="7" t="s">
        <v>66</v>
      </c>
      <c r="D311" s="7">
        <v>45</v>
      </c>
      <c r="E311" s="7">
        <v>46209</v>
      </c>
      <c r="F311" s="7">
        <v>46220</v>
      </c>
      <c r="G311" s="8" t="s">
        <v>323</v>
      </c>
      <c r="H311" s="2" t="s">
        <v>16</v>
      </c>
      <c r="I311" s="9">
        <v>4120</v>
      </c>
      <c r="J311" s="5" t="s">
        <v>17</v>
      </c>
      <c r="K311" s="10">
        <v>4390</v>
      </c>
    </row>
    <row r="312" spans="1:11" x14ac:dyDescent="0.35">
      <c r="A312" s="88" t="s">
        <v>11</v>
      </c>
      <c r="B312" s="7">
        <f>2026</f>
        <v>2026</v>
      </c>
      <c r="C312" s="7" t="s">
        <v>66</v>
      </c>
      <c r="D312" s="7">
        <v>53</v>
      </c>
      <c r="E312" s="7">
        <v>46215</v>
      </c>
      <c r="F312" s="7">
        <v>46223</v>
      </c>
      <c r="G312" s="8" t="s">
        <v>64</v>
      </c>
      <c r="H312" s="6" t="s">
        <v>16</v>
      </c>
      <c r="I312" s="9">
        <v>5951.62</v>
      </c>
      <c r="J312" s="5" t="s">
        <v>17</v>
      </c>
      <c r="K312" s="10">
        <v>2775.03</v>
      </c>
    </row>
    <row r="313" spans="1:11" x14ac:dyDescent="0.35">
      <c r="A313" s="7" t="s">
        <v>11</v>
      </c>
      <c r="B313" s="7">
        <f>2026</f>
        <v>2026</v>
      </c>
      <c r="C313" s="7" t="s">
        <v>66</v>
      </c>
      <c r="D313" s="7">
        <v>41</v>
      </c>
      <c r="E313" s="7">
        <v>46202</v>
      </c>
      <c r="F313" s="7">
        <v>46224</v>
      </c>
      <c r="G313" s="8" t="s">
        <v>58</v>
      </c>
      <c r="H313" s="2" t="s">
        <v>16</v>
      </c>
      <c r="I313" s="9">
        <v>8793.91</v>
      </c>
      <c r="J313" s="5" t="s">
        <v>17</v>
      </c>
      <c r="K313" s="10">
        <v>4750</v>
      </c>
    </row>
    <row r="314" spans="1:11" x14ac:dyDescent="0.35">
      <c r="A314" s="88" t="s">
        <v>11</v>
      </c>
      <c r="B314" s="7">
        <f>2026</f>
        <v>2026</v>
      </c>
      <c r="C314" s="7" t="s">
        <v>66</v>
      </c>
      <c r="D314" s="7">
        <v>50</v>
      </c>
      <c r="E314" s="7">
        <v>46212</v>
      </c>
      <c r="F314" s="7">
        <v>46223</v>
      </c>
      <c r="G314" s="8" t="s">
        <v>323</v>
      </c>
      <c r="H314" s="6" t="s">
        <v>16</v>
      </c>
      <c r="I314" s="9">
        <v>5905.72</v>
      </c>
      <c r="J314" s="5" t="s">
        <v>17</v>
      </c>
      <c r="K314" s="10">
        <v>4390</v>
      </c>
    </row>
    <row r="315" spans="1:11" x14ac:dyDescent="0.35">
      <c r="A315" s="7" t="s">
        <v>67</v>
      </c>
      <c r="B315" s="7">
        <v>2026</v>
      </c>
      <c r="C315" s="7" t="s">
        <v>68</v>
      </c>
      <c r="D315" s="7">
        <v>932</v>
      </c>
      <c r="E315" s="7">
        <v>46025</v>
      </c>
      <c r="F315" s="7">
        <v>46030</v>
      </c>
      <c r="G315" s="8" t="s">
        <v>323</v>
      </c>
      <c r="H315" s="2">
        <v>12.25</v>
      </c>
      <c r="I315" s="9">
        <v>1615</v>
      </c>
      <c r="J315" s="5" t="s">
        <v>69</v>
      </c>
      <c r="K315" s="10">
        <v>4390</v>
      </c>
    </row>
    <row r="316" spans="1:11" x14ac:dyDescent="0.35">
      <c r="A316" s="88" t="s">
        <v>67</v>
      </c>
      <c r="B316" s="7">
        <v>2026</v>
      </c>
      <c r="C316" s="7" t="s">
        <v>68</v>
      </c>
      <c r="D316" s="7">
        <v>930</v>
      </c>
      <c r="E316" s="7">
        <v>46028</v>
      </c>
      <c r="F316" s="7">
        <v>46037</v>
      </c>
      <c r="G316" s="8" t="s">
        <v>70</v>
      </c>
      <c r="H316" s="6">
        <v>12.25</v>
      </c>
      <c r="I316" s="9">
        <v>3247</v>
      </c>
      <c r="J316" s="5" t="s">
        <v>69</v>
      </c>
      <c r="K316" s="10">
        <v>3690</v>
      </c>
    </row>
    <row r="317" spans="1:11" x14ac:dyDescent="0.35">
      <c r="A317" s="7" t="s">
        <v>67</v>
      </c>
      <c r="B317" s="7">
        <v>2026</v>
      </c>
      <c r="C317" s="7" t="s">
        <v>68</v>
      </c>
      <c r="D317" s="7">
        <v>932</v>
      </c>
      <c r="E317" s="7">
        <v>46030</v>
      </c>
      <c r="F317" s="7">
        <v>46037</v>
      </c>
      <c r="G317" s="8" t="s">
        <v>70</v>
      </c>
      <c r="H317" s="2">
        <v>12.25</v>
      </c>
      <c r="I317" s="9">
        <v>1734</v>
      </c>
      <c r="J317" s="5" t="s">
        <v>69</v>
      </c>
      <c r="K317" s="10">
        <v>3690</v>
      </c>
    </row>
    <row r="318" spans="1:11" x14ac:dyDescent="0.35">
      <c r="A318" s="88" t="s">
        <v>67</v>
      </c>
      <c r="B318" s="7">
        <v>2026</v>
      </c>
      <c r="C318" s="7" t="s">
        <v>68</v>
      </c>
      <c r="D318" s="7">
        <v>831</v>
      </c>
      <c r="E318" s="7">
        <v>46031</v>
      </c>
      <c r="F318" s="7">
        <v>46068</v>
      </c>
      <c r="G318" s="8" t="s">
        <v>323</v>
      </c>
      <c r="H318" s="6">
        <v>12.25</v>
      </c>
      <c r="I318" s="9">
        <v>8041</v>
      </c>
      <c r="J318" s="5" t="s">
        <v>69</v>
      </c>
      <c r="K318" s="10">
        <v>4390</v>
      </c>
    </row>
    <row r="319" spans="1:11" x14ac:dyDescent="0.35">
      <c r="A319" s="7" t="s">
        <v>67</v>
      </c>
      <c r="B319" s="7">
        <v>2026</v>
      </c>
      <c r="C319" s="7" t="s">
        <v>68</v>
      </c>
      <c r="D319" s="7">
        <v>60</v>
      </c>
      <c r="E319" s="7">
        <v>46032</v>
      </c>
      <c r="F319" s="7">
        <v>46045</v>
      </c>
      <c r="G319" s="8" t="s">
        <v>323</v>
      </c>
      <c r="H319" s="2">
        <v>12.25</v>
      </c>
      <c r="I319" s="9">
        <v>2414</v>
      </c>
      <c r="J319" s="5" t="s">
        <v>69</v>
      </c>
      <c r="K319" s="10">
        <v>4390</v>
      </c>
    </row>
    <row r="320" spans="1:11" x14ac:dyDescent="0.35">
      <c r="A320" s="88" t="s">
        <v>67</v>
      </c>
      <c r="B320" s="7">
        <v>2026</v>
      </c>
      <c r="C320" s="7" t="s">
        <v>68</v>
      </c>
      <c r="D320" s="7">
        <v>931</v>
      </c>
      <c r="E320" s="7">
        <v>46032</v>
      </c>
      <c r="F320" s="7">
        <v>46036</v>
      </c>
      <c r="G320" s="8" t="s">
        <v>323</v>
      </c>
      <c r="H320" s="6">
        <v>12.25</v>
      </c>
      <c r="I320" s="9">
        <v>1598</v>
      </c>
      <c r="J320" s="5" t="s">
        <v>69</v>
      </c>
      <c r="K320" s="10">
        <v>4390</v>
      </c>
    </row>
    <row r="321" spans="1:11" x14ac:dyDescent="0.35">
      <c r="A321" s="7" t="s">
        <v>67</v>
      </c>
      <c r="B321" s="7">
        <v>2026</v>
      </c>
      <c r="C321" s="7" t="s">
        <v>68</v>
      </c>
      <c r="D321" s="7">
        <v>66</v>
      </c>
      <c r="E321" s="7">
        <v>46033</v>
      </c>
      <c r="F321" s="7">
        <v>46045</v>
      </c>
      <c r="G321" s="8" t="s">
        <v>323</v>
      </c>
      <c r="H321" s="2">
        <v>12.25</v>
      </c>
      <c r="I321" s="9">
        <v>2958</v>
      </c>
      <c r="J321" s="5" t="s">
        <v>69</v>
      </c>
      <c r="K321" s="10">
        <v>4390</v>
      </c>
    </row>
    <row r="322" spans="1:11" x14ac:dyDescent="0.35">
      <c r="A322" s="88" t="s">
        <v>67</v>
      </c>
      <c r="B322" s="7">
        <v>2026</v>
      </c>
      <c r="C322" s="7" t="s">
        <v>68</v>
      </c>
      <c r="D322" s="7">
        <v>67</v>
      </c>
      <c r="E322" s="7">
        <v>46033</v>
      </c>
      <c r="F322" s="7">
        <v>46043</v>
      </c>
      <c r="G322" s="8" t="s">
        <v>323</v>
      </c>
      <c r="H322" s="6">
        <v>12.25</v>
      </c>
      <c r="I322" s="9">
        <v>3281</v>
      </c>
      <c r="J322" s="5" t="s">
        <v>69</v>
      </c>
      <c r="K322" s="10">
        <v>4390</v>
      </c>
    </row>
    <row r="323" spans="1:11" x14ac:dyDescent="0.35">
      <c r="A323" s="7" t="s">
        <v>67</v>
      </c>
      <c r="B323" s="7">
        <v>2026</v>
      </c>
      <c r="C323" s="7" t="s">
        <v>68</v>
      </c>
      <c r="D323" s="7">
        <v>931</v>
      </c>
      <c r="E323" s="7">
        <v>46036</v>
      </c>
      <c r="F323" s="7">
        <v>46052</v>
      </c>
      <c r="G323" s="8" t="s">
        <v>59</v>
      </c>
      <c r="H323" s="2">
        <v>12.25</v>
      </c>
      <c r="I323" s="9">
        <v>1836</v>
      </c>
      <c r="J323" s="5" t="s">
        <v>69</v>
      </c>
      <c r="K323" s="10"/>
    </row>
    <row r="324" spans="1:11" x14ac:dyDescent="0.35">
      <c r="A324" s="88" t="s">
        <v>67</v>
      </c>
      <c r="B324" s="7">
        <v>2026</v>
      </c>
      <c r="C324" s="7" t="s">
        <v>68</v>
      </c>
      <c r="D324" s="7">
        <v>932</v>
      </c>
      <c r="E324" s="7">
        <v>46037</v>
      </c>
      <c r="F324" s="7">
        <v>46045</v>
      </c>
      <c r="G324" s="8" t="s">
        <v>323</v>
      </c>
      <c r="H324" s="6">
        <v>12.25</v>
      </c>
      <c r="I324" s="9">
        <v>2244</v>
      </c>
      <c r="J324" s="5" t="s">
        <v>69</v>
      </c>
      <c r="K324" s="10">
        <v>4390</v>
      </c>
    </row>
    <row r="325" spans="1:11" x14ac:dyDescent="0.35">
      <c r="A325" s="7" t="s">
        <v>67</v>
      </c>
      <c r="B325" s="7">
        <v>2026</v>
      </c>
      <c r="C325" s="7" t="s">
        <v>68</v>
      </c>
      <c r="D325" s="7">
        <v>930</v>
      </c>
      <c r="E325" s="7">
        <v>46037</v>
      </c>
      <c r="F325" s="7">
        <v>46047</v>
      </c>
      <c r="G325" s="8" t="s">
        <v>323</v>
      </c>
      <c r="H325" s="2">
        <v>12.25</v>
      </c>
      <c r="I325" s="9">
        <v>3655</v>
      </c>
      <c r="J325" s="5" t="s">
        <v>69</v>
      </c>
      <c r="K325" s="10">
        <v>4390</v>
      </c>
    </row>
    <row r="326" spans="1:11" x14ac:dyDescent="0.35">
      <c r="A326" s="88" t="s">
        <v>67</v>
      </c>
      <c r="B326" s="7">
        <v>2026</v>
      </c>
      <c r="C326" s="7" t="s">
        <v>68</v>
      </c>
      <c r="D326" s="7">
        <v>65</v>
      </c>
      <c r="E326" s="7">
        <v>46038</v>
      </c>
      <c r="F326" s="7">
        <v>46048</v>
      </c>
      <c r="G326" s="8" t="s">
        <v>70</v>
      </c>
      <c r="H326" s="6">
        <v>12.25</v>
      </c>
      <c r="I326" s="9">
        <v>2397</v>
      </c>
      <c r="J326" s="5" t="s">
        <v>69</v>
      </c>
      <c r="K326" s="10">
        <v>3690</v>
      </c>
    </row>
    <row r="327" spans="1:11" x14ac:dyDescent="0.35">
      <c r="A327" s="7" t="s">
        <v>67</v>
      </c>
      <c r="B327" s="7">
        <v>2026</v>
      </c>
      <c r="C327" s="7" t="s">
        <v>68</v>
      </c>
      <c r="D327" s="7">
        <v>69</v>
      </c>
      <c r="E327" s="7">
        <v>46039</v>
      </c>
      <c r="F327" s="7">
        <v>46043</v>
      </c>
      <c r="G327" s="8" t="s">
        <v>70</v>
      </c>
      <c r="H327" s="2">
        <v>12.25</v>
      </c>
      <c r="I327" s="9">
        <v>2550</v>
      </c>
      <c r="J327" s="5" t="s">
        <v>69</v>
      </c>
      <c r="K327" s="10">
        <v>3690</v>
      </c>
    </row>
    <row r="328" spans="1:11" x14ac:dyDescent="0.35">
      <c r="A328" s="88" t="s">
        <v>67</v>
      </c>
      <c r="B328" s="7">
        <v>2026</v>
      </c>
      <c r="C328" s="7" t="s">
        <v>68</v>
      </c>
      <c r="D328" s="7">
        <v>69</v>
      </c>
      <c r="E328" s="7">
        <v>46043</v>
      </c>
      <c r="F328" s="7">
        <v>46050</v>
      </c>
      <c r="G328" s="8" t="s">
        <v>70</v>
      </c>
      <c r="H328" s="6">
        <v>12.25</v>
      </c>
      <c r="I328" s="9">
        <v>3298</v>
      </c>
      <c r="J328" s="5" t="s">
        <v>69</v>
      </c>
      <c r="K328" s="10">
        <v>3690</v>
      </c>
    </row>
    <row r="329" spans="1:11" x14ac:dyDescent="0.35">
      <c r="A329" s="7" t="s">
        <v>67</v>
      </c>
      <c r="B329" s="7">
        <v>2026</v>
      </c>
      <c r="C329" s="7" t="s">
        <v>68</v>
      </c>
      <c r="D329" s="7">
        <v>67</v>
      </c>
      <c r="E329" s="7">
        <v>46043</v>
      </c>
      <c r="F329" s="7">
        <v>46051</v>
      </c>
      <c r="G329" s="8" t="s">
        <v>323</v>
      </c>
      <c r="H329" s="2">
        <v>12.25</v>
      </c>
      <c r="I329" s="9">
        <v>2227</v>
      </c>
      <c r="J329" s="5" t="s">
        <v>69</v>
      </c>
      <c r="K329" s="10">
        <v>4390</v>
      </c>
    </row>
    <row r="330" spans="1:11" x14ac:dyDescent="0.35">
      <c r="A330" s="88" t="s">
        <v>67</v>
      </c>
      <c r="B330" s="7">
        <v>2026</v>
      </c>
      <c r="C330" s="7" t="s">
        <v>68</v>
      </c>
      <c r="D330" s="7">
        <v>64</v>
      </c>
      <c r="E330" s="7">
        <v>46044</v>
      </c>
      <c r="F330" s="7">
        <v>46064</v>
      </c>
      <c r="G330" s="8" t="s">
        <v>70</v>
      </c>
      <c r="H330" s="6">
        <v>12.25</v>
      </c>
      <c r="I330" s="9">
        <v>6919</v>
      </c>
      <c r="J330" s="5" t="s">
        <v>69</v>
      </c>
      <c r="K330" s="10">
        <v>3690</v>
      </c>
    </row>
    <row r="331" spans="1:11" x14ac:dyDescent="0.35">
      <c r="A331" s="7" t="s">
        <v>67</v>
      </c>
      <c r="B331" s="7">
        <v>2026</v>
      </c>
      <c r="C331" s="7" t="s">
        <v>68</v>
      </c>
      <c r="D331" s="7">
        <v>66</v>
      </c>
      <c r="E331" s="7">
        <v>46045</v>
      </c>
      <c r="F331" s="7">
        <v>46061</v>
      </c>
      <c r="G331" s="8" t="s">
        <v>323</v>
      </c>
      <c r="H331" s="2">
        <v>12.25</v>
      </c>
      <c r="I331" s="9">
        <v>3026</v>
      </c>
      <c r="J331" s="5" t="s">
        <v>69</v>
      </c>
      <c r="K331" s="10">
        <v>4390</v>
      </c>
    </row>
    <row r="332" spans="1:11" x14ac:dyDescent="0.35">
      <c r="A332" s="88" t="s">
        <v>67</v>
      </c>
      <c r="B332" s="7">
        <v>2026</v>
      </c>
      <c r="C332" s="7" t="s">
        <v>68</v>
      </c>
      <c r="D332" s="7">
        <v>932</v>
      </c>
      <c r="E332" s="7">
        <v>46045</v>
      </c>
      <c r="F332" s="7">
        <v>46051</v>
      </c>
      <c r="G332" s="8" t="s">
        <v>70</v>
      </c>
      <c r="H332" s="6">
        <v>12.25</v>
      </c>
      <c r="I332" s="9">
        <v>2567</v>
      </c>
      <c r="J332" s="5" t="s">
        <v>69</v>
      </c>
      <c r="K332" s="10">
        <v>3690</v>
      </c>
    </row>
    <row r="333" spans="1:11" x14ac:dyDescent="0.35">
      <c r="A333" s="7" t="s">
        <v>67</v>
      </c>
      <c r="B333" s="7">
        <v>2026</v>
      </c>
      <c r="C333" s="7" t="s">
        <v>68</v>
      </c>
      <c r="D333" s="7">
        <v>60</v>
      </c>
      <c r="E333" s="7">
        <v>46045</v>
      </c>
      <c r="F333" s="7">
        <v>46054</v>
      </c>
      <c r="G333" s="8" t="s">
        <v>70</v>
      </c>
      <c r="H333" s="2">
        <v>12.25</v>
      </c>
      <c r="I333" s="9">
        <v>2516</v>
      </c>
      <c r="J333" s="5" t="s">
        <v>69</v>
      </c>
      <c r="K333" s="10">
        <v>3690</v>
      </c>
    </row>
    <row r="334" spans="1:11" x14ac:dyDescent="0.35">
      <c r="A334" s="88" t="s">
        <v>67</v>
      </c>
      <c r="B334" s="7">
        <v>2026</v>
      </c>
      <c r="C334" s="7" t="s">
        <v>68</v>
      </c>
      <c r="D334" s="7">
        <v>930</v>
      </c>
      <c r="E334" s="7">
        <v>46047</v>
      </c>
      <c r="F334" s="7">
        <v>46056</v>
      </c>
      <c r="G334" s="8" t="s">
        <v>323</v>
      </c>
      <c r="H334" s="6">
        <v>12.25</v>
      </c>
      <c r="I334" s="9">
        <v>3774</v>
      </c>
      <c r="J334" s="5" t="s">
        <v>69</v>
      </c>
      <c r="K334" s="10">
        <v>4390</v>
      </c>
    </row>
    <row r="335" spans="1:11" x14ac:dyDescent="0.35">
      <c r="A335" s="7" t="s">
        <v>67</v>
      </c>
      <c r="B335" s="7">
        <v>2026</v>
      </c>
      <c r="C335" s="7" t="s">
        <v>68</v>
      </c>
      <c r="D335" s="7">
        <v>65</v>
      </c>
      <c r="E335" s="7">
        <v>46048</v>
      </c>
      <c r="F335" s="7">
        <v>46062</v>
      </c>
      <c r="G335" s="8" t="s">
        <v>70</v>
      </c>
      <c r="H335" s="2">
        <v>12.25</v>
      </c>
      <c r="I335" s="9">
        <v>3094</v>
      </c>
      <c r="J335" s="5" t="s">
        <v>69</v>
      </c>
      <c r="K335" s="10">
        <v>3690</v>
      </c>
    </row>
    <row r="336" spans="1:11" x14ac:dyDescent="0.35">
      <c r="A336" s="88" t="s">
        <v>67</v>
      </c>
      <c r="B336" s="7">
        <v>2026</v>
      </c>
      <c r="C336" s="7" t="s">
        <v>68</v>
      </c>
      <c r="D336" s="7">
        <v>69</v>
      </c>
      <c r="E336" s="7">
        <v>46050</v>
      </c>
      <c r="F336" s="7">
        <v>46057</v>
      </c>
      <c r="G336" s="8" t="s">
        <v>323</v>
      </c>
      <c r="H336" s="6">
        <v>12.25</v>
      </c>
      <c r="I336" s="9">
        <v>2992</v>
      </c>
      <c r="J336" s="5" t="s">
        <v>69</v>
      </c>
      <c r="K336" s="10">
        <v>4390</v>
      </c>
    </row>
    <row r="337" spans="1:11" x14ac:dyDescent="0.35">
      <c r="A337" s="7" t="s">
        <v>67</v>
      </c>
      <c r="B337" s="7">
        <v>2026</v>
      </c>
      <c r="C337" s="7" t="s">
        <v>68</v>
      </c>
      <c r="D337" s="7">
        <v>67</v>
      </c>
      <c r="E337" s="7">
        <v>46051</v>
      </c>
      <c r="F337" s="7">
        <v>46064</v>
      </c>
      <c r="G337" s="8" t="s">
        <v>323</v>
      </c>
      <c r="H337" s="2">
        <v>12.25</v>
      </c>
      <c r="I337" s="9">
        <v>3213</v>
      </c>
      <c r="J337" s="5" t="s">
        <v>69</v>
      </c>
      <c r="K337" s="10">
        <v>4390</v>
      </c>
    </row>
    <row r="338" spans="1:11" x14ac:dyDescent="0.35">
      <c r="A338" s="88" t="s">
        <v>67</v>
      </c>
      <c r="B338" s="7">
        <v>2026</v>
      </c>
      <c r="C338" s="7" t="s">
        <v>68</v>
      </c>
      <c r="D338" s="7">
        <v>932</v>
      </c>
      <c r="E338" s="7">
        <v>46051</v>
      </c>
      <c r="F338" s="7">
        <v>46061</v>
      </c>
      <c r="G338" s="8" t="s">
        <v>71</v>
      </c>
      <c r="H338" s="6">
        <v>12.25</v>
      </c>
      <c r="I338" s="9">
        <v>3553</v>
      </c>
      <c r="J338" s="5" t="s">
        <v>69</v>
      </c>
      <c r="K338" s="10"/>
    </row>
    <row r="339" spans="1:11" x14ac:dyDescent="0.35">
      <c r="A339" s="7" t="s">
        <v>67</v>
      </c>
      <c r="B339" s="7">
        <v>2026</v>
      </c>
      <c r="C339" s="7" t="s">
        <v>68</v>
      </c>
      <c r="D339" s="7">
        <v>931</v>
      </c>
      <c r="E339" s="7">
        <v>46052</v>
      </c>
      <c r="F339" s="7">
        <v>46057</v>
      </c>
      <c r="G339" s="8" t="s">
        <v>323</v>
      </c>
      <c r="H339" s="2">
        <v>12.25</v>
      </c>
      <c r="I339" s="9">
        <v>2363</v>
      </c>
      <c r="J339" s="5" t="s">
        <v>69</v>
      </c>
      <c r="K339" s="10">
        <v>4390</v>
      </c>
    </row>
    <row r="340" spans="1:11" x14ac:dyDescent="0.35">
      <c r="A340" s="88" t="s">
        <v>67</v>
      </c>
      <c r="B340" s="7">
        <v>2026</v>
      </c>
      <c r="C340" s="7" t="s">
        <v>72</v>
      </c>
      <c r="D340" s="7">
        <v>60</v>
      </c>
      <c r="E340" s="7">
        <v>46054</v>
      </c>
      <c r="F340" s="7">
        <v>46075</v>
      </c>
      <c r="G340" s="8" t="s">
        <v>323</v>
      </c>
      <c r="H340" s="6">
        <v>12.25</v>
      </c>
      <c r="I340" s="9">
        <v>3145</v>
      </c>
      <c r="J340" s="5" t="s">
        <v>69</v>
      </c>
      <c r="K340" s="10">
        <v>4390</v>
      </c>
    </row>
    <row r="341" spans="1:11" x14ac:dyDescent="0.35">
      <c r="A341" s="7" t="s">
        <v>67</v>
      </c>
      <c r="B341" s="7">
        <v>2026</v>
      </c>
      <c r="C341" s="7" t="s">
        <v>72</v>
      </c>
      <c r="D341" s="7">
        <v>930</v>
      </c>
      <c r="E341" s="7">
        <v>46056</v>
      </c>
      <c r="F341" s="7">
        <v>46063</v>
      </c>
      <c r="G341" s="8" t="s">
        <v>70</v>
      </c>
      <c r="H341" s="2">
        <v>12.25</v>
      </c>
      <c r="I341" s="9">
        <v>2822</v>
      </c>
      <c r="J341" s="5" t="s">
        <v>69</v>
      </c>
      <c r="K341" s="10">
        <v>3690</v>
      </c>
    </row>
    <row r="342" spans="1:11" x14ac:dyDescent="0.35">
      <c r="A342" s="88" t="s">
        <v>67</v>
      </c>
      <c r="B342" s="7">
        <v>2026</v>
      </c>
      <c r="C342" s="7" t="s">
        <v>72</v>
      </c>
      <c r="D342" s="7">
        <v>931</v>
      </c>
      <c r="E342" s="7">
        <v>46057</v>
      </c>
      <c r="F342" s="7">
        <v>46067</v>
      </c>
      <c r="G342" s="8" t="s">
        <v>70</v>
      </c>
      <c r="H342" s="6">
        <v>12.25</v>
      </c>
      <c r="I342" s="9">
        <v>4284</v>
      </c>
      <c r="J342" s="5" t="s">
        <v>69</v>
      </c>
      <c r="K342" s="10">
        <v>3690</v>
      </c>
    </row>
    <row r="343" spans="1:11" x14ac:dyDescent="0.35">
      <c r="A343" s="7" t="s">
        <v>67</v>
      </c>
      <c r="B343" s="7">
        <v>2026</v>
      </c>
      <c r="C343" s="7" t="s">
        <v>72</v>
      </c>
      <c r="D343" s="7">
        <v>69</v>
      </c>
      <c r="E343" s="7">
        <v>46057</v>
      </c>
      <c r="F343" s="7">
        <v>46063</v>
      </c>
      <c r="G343" s="8" t="s">
        <v>323</v>
      </c>
      <c r="H343" s="2">
        <v>12.25</v>
      </c>
      <c r="I343" s="9">
        <v>2074</v>
      </c>
      <c r="J343" s="5" t="s">
        <v>69</v>
      </c>
      <c r="K343" s="10">
        <v>4390</v>
      </c>
    </row>
    <row r="344" spans="1:11" x14ac:dyDescent="0.35">
      <c r="A344" s="88" t="s">
        <v>67</v>
      </c>
      <c r="B344" s="7">
        <v>2026</v>
      </c>
      <c r="C344" s="7" t="s">
        <v>72</v>
      </c>
      <c r="D344" s="7">
        <v>66</v>
      </c>
      <c r="E344" s="7">
        <v>46061</v>
      </c>
      <c r="F344" s="7">
        <v>46067</v>
      </c>
      <c r="G344" s="8" t="s">
        <v>70</v>
      </c>
      <c r="H344" s="6">
        <v>12.25</v>
      </c>
      <c r="I344" s="9">
        <v>1887</v>
      </c>
      <c r="J344" s="5" t="s">
        <v>69</v>
      </c>
      <c r="K344" s="10">
        <v>3690</v>
      </c>
    </row>
    <row r="345" spans="1:11" x14ac:dyDescent="0.35">
      <c r="A345" s="7" t="s">
        <v>67</v>
      </c>
      <c r="B345" s="7">
        <v>2026</v>
      </c>
      <c r="C345" s="7" t="s">
        <v>72</v>
      </c>
      <c r="D345" s="7">
        <v>932</v>
      </c>
      <c r="E345" s="7">
        <v>46061</v>
      </c>
      <c r="F345" s="7">
        <v>46073</v>
      </c>
      <c r="G345" s="8" t="s">
        <v>70</v>
      </c>
      <c r="H345" s="2">
        <v>12.25</v>
      </c>
      <c r="I345" s="9">
        <v>2958</v>
      </c>
      <c r="J345" s="5" t="s">
        <v>69</v>
      </c>
      <c r="K345" s="10">
        <v>3690</v>
      </c>
    </row>
    <row r="346" spans="1:11" x14ac:dyDescent="0.35">
      <c r="A346" s="88" t="s">
        <v>67</v>
      </c>
      <c r="B346" s="7">
        <v>2026</v>
      </c>
      <c r="C346" s="7" t="s">
        <v>72</v>
      </c>
      <c r="D346" s="7">
        <v>38</v>
      </c>
      <c r="E346" s="7">
        <v>46062</v>
      </c>
      <c r="F346" s="7">
        <v>46062</v>
      </c>
      <c r="G346" s="8" t="s">
        <v>70</v>
      </c>
      <c r="H346" s="6">
        <v>12.25</v>
      </c>
      <c r="I346" s="9">
        <v>4029</v>
      </c>
      <c r="J346" s="5" t="s">
        <v>69</v>
      </c>
      <c r="K346" s="10">
        <v>3690</v>
      </c>
    </row>
    <row r="347" spans="1:11" x14ac:dyDescent="0.35">
      <c r="A347" s="7" t="s">
        <v>67</v>
      </c>
      <c r="B347" s="7">
        <v>2026</v>
      </c>
      <c r="C347" s="7" t="s">
        <v>72</v>
      </c>
      <c r="D347" s="7">
        <v>65</v>
      </c>
      <c r="E347" s="7">
        <v>46062</v>
      </c>
      <c r="F347" s="7">
        <v>46080</v>
      </c>
      <c r="G347" s="8" t="s">
        <v>323</v>
      </c>
      <c r="H347" s="2">
        <v>12.25</v>
      </c>
      <c r="I347" s="9">
        <v>3859</v>
      </c>
      <c r="J347" s="5" t="s">
        <v>69</v>
      </c>
      <c r="K347" s="10">
        <v>4390</v>
      </c>
    </row>
    <row r="348" spans="1:11" x14ac:dyDescent="0.35">
      <c r="A348" s="88" t="s">
        <v>67</v>
      </c>
      <c r="B348" s="7">
        <v>2026</v>
      </c>
      <c r="C348" s="7" t="s">
        <v>72</v>
      </c>
      <c r="D348" s="7">
        <v>930</v>
      </c>
      <c r="E348" s="7">
        <v>46063</v>
      </c>
      <c r="F348" s="7">
        <v>46078</v>
      </c>
      <c r="G348" s="8" t="s">
        <v>70</v>
      </c>
      <c r="H348" s="6">
        <v>12.25</v>
      </c>
      <c r="I348" s="9">
        <v>5559</v>
      </c>
      <c r="J348" s="5" t="s">
        <v>69</v>
      </c>
      <c r="K348" s="10">
        <v>3690</v>
      </c>
    </row>
    <row r="349" spans="1:11" x14ac:dyDescent="0.35">
      <c r="A349" s="7" t="s">
        <v>67</v>
      </c>
      <c r="B349" s="7">
        <v>2026</v>
      </c>
      <c r="C349" s="7" t="s">
        <v>72</v>
      </c>
      <c r="D349" s="7">
        <v>69</v>
      </c>
      <c r="E349" s="7">
        <v>46063</v>
      </c>
      <c r="F349" s="7">
        <v>46069</v>
      </c>
      <c r="G349" s="8" t="s">
        <v>323</v>
      </c>
      <c r="H349" s="2">
        <v>12.25</v>
      </c>
      <c r="I349" s="9">
        <v>2040</v>
      </c>
      <c r="J349" s="5" t="s">
        <v>69</v>
      </c>
      <c r="K349" s="10">
        <v>4390</v>
      </c>
    </row>
    <row r="350" spans="1:11" x14ac:dyDescent="0.35">
      <c r="A350" s="88" t="s">
        <v>67</v>
      </c>
      <c r="B350" s="7">
        <v>2026</v>
      </c>
      <c r="C350" s="7" t="s">
        <v>72</v>
      </c>
      <c r="D350" s="7">
        <v>67</v>
      </c>
      <c r="E350" s="7">
        <v>46064</v>
      </c>
      <c r="F350" s="7">
        <v>46073</v>
      </c>
      <c r="G350" s="8" t="s">
        <v>323</v>
      </c>
      <c r="H350" s="6">
        <v>12.25</v>
      </c>
      <c r="I350" s="9">
        <v>2074</v>
      </c>
      <c r="J350" s="5" t="s">
        <v>69</v>
      </c>
      <c r="K350" s="10">
        <v>4390</v>
      </c>
    </row>
    <row r="351" spans="1:11" x14ac:dyDescent="0.35">
      <c r="A351" s="7" t="s">
        <v>67</v>
      </c>
      <c r="B351" s="7">
        <v>2026</v>
      </c>
      <c r="C351" s="7" t="s">
        <v>72</v>
      </c>
      <c r="D351" s="7">
        <v>64</v>
      </c>
      <c r="E351" s="7">
        <v>46064</v>
      </c>
      <c r="F351" s="7">
        <v>46122</v>
      </c>
      <c r="G351" s="8" t="s">
        <v>323</v>
      </c>
      <c r="H351" s="2">
        <v>12.25</v>
      </c>
      <c r="I351" s="9">
        <v>10846</v>
      </c>
      <c r="J351" s="5" t="s">
        <v>69</v>
      </c>
      <c r="K351" s="10">
        <v>4390</v>
      </c>
    </row>
    <row r="352" spans="1:11" x14ac:dyDescent="0.35">
      <c r="A352" s="88" t="s">
        <v>67</v>
      </c>
      <c r="B352" s="7">
        <v>2026</v>
      </c>
      <c r="C352" s="7" t="s">
        <v>72</v>
      </c>
      <c r="D352" s="7">
        <v>66</v>
      </c>
      <c r="E352" s="7">
        <v>46067</v>
      </c>
      <c r="F352" s="7">
        <v>46079</v>
      </c>
      <c r="G352" s="8" t="s">
        <v>70</v>
      </c>
      <c r="H352" s="6">
        <v>12.25</v>
      </c>
      <c r="I352" s="9">
        <v>1445</v>
      </c>
      <c r="J352" s="5" t="s">
        <v>69</v>
      </c>
      <c r="K352" s="10">
        <v>3690</v>
      </c>
    </row>
    <row r="353" spans="1:11" x14ac:dyDescent="0.35">
      <c r="A353" s="7" t="s">
        <v>67</v>
      </c>
      <c r="B353" s="7">
        <v>2026</v>
      </c>
      <c r="C353" s="7" t="s">
        <v>72</v>
      </c>
      <c r="D353" s="7">
        <v>931</v>
      </c>
      <c r="E353" s="7">
        <v>46067</v>
      </c>
      <c r="F353" s="7">
        <v>46085</v>
      </c>
      <c r="G353" s="8" t="s">
        <v>70</v>
      </c>
      <c r="H353" s="2">
        <v>12.25</v>
      </c>
      <c r="I353" s="9">
        <v>6103</v>
      </c>
      <c r="J353" s="5" t="s">
        <v>69</v>
      </c>
      <c r="K353" s="10">
        <v>3690</v>
      </c>
    </row>
    <row r="354" spans="1:11" x14ac:dyDescent="0.35">
      <c r="A354" s="88" t="s">
        <v>67</v>
      </c>
      <c r="B354" s="7">
        <v>2026</v>
      </c>
      <c r="C354" s="7" t="s">
        <v>72</v>
      </c>
      <c r="D354" s="7">
        <v>831</v>
      </c>
      <c r="E354" s="7">
        <v>46068</v>
      </c>
      <c r="F354" s="7">
        <v>46080</v>
      </c>
      <c r="G354" s="8" t="s">
        <v>70</v>
      </c>
      <c r="H354" s="6">
        <v>12.25</v>
      </c>
      <c r="I354" s="9">
        <v>4488</v>
      </c>
      <c r="J354" s="5" t="s">
        <v>69</v>
      </c>
      <c r="K354" s="10">
        <v>3690</v>
      </c>
    </row>
    <row r="355" spans="1:11" x14ac:dyDescent="0.35">
      <c r="A355" s="7" t="s">
        <v>67</v>
      </c>
      <c r="B355" s="7">
        <v>2026</v>
      </c>
      <c r="C355" s="7" t="s">
        <v>72</v>
      </c>
      <c r="D355" s="7">
        <v>69</v>
      </c>
      <c r="E355" s="7">
        <v>46069</v>
      </c>
      <c r="F355" s="7">
        <v>46074</v>
      </c>
      <c r="G355" s="8" t="s">
        <v>70</v>
      </c>
      <c r="H355" s="2">
        <v>12.25</v>
      </c>
      <c r="I355" s="9">
        <v>2873</v>
      </c>
      <c r="J355" s="5" t="s">
        <v>69</v>
      </c>
      <c r="K355" s="10">
        <v>3690</v>
      </c>
    </row>
    <row r="356" spans="1:11" x14ac:dyDescent="0.35">
      <c r="A356" s="88" t="s">
        <v>67</v>
      </c>
      <c r="B356" s="7">
        <v>2026</v>
      </c>
      <c r="C356" s="7" t="s">
        <v>72</v>
      </c>
      <c r="D356" s="7">
        <v>932</v>
      </c>
      <c r="E356" s="7">
        <v>46073</v>
      </c>
      <c r="F356" s="7">
        <v>46107</v>
      </c>
      <c r="G356" s="8" t="s">
        <v>323</v>
      </c>
      <c r="H356" s="6">
        <v>12.25</v>
      </c>
      <c r="I356" s="9">
        <v>2244</v>
      </c>
      <c r="J356" s="5" t="s">
        <v>69</v>
      </c>
      <c r="K356" s="10">
        <v>4390</v>
      </c>
    </row>
    <row r="357" spans="1:11" x14ac:dyDescent="0.35">
      <c r="A357" s="7" t="s">
        <v>67</v>
      </c>
      <c r="B357" s="7">
        <v>2026</v>
      </c>
      <c r="C357" s="7" t="s">
        <v>72</v>
      </c>
      <c r="D357" s="7">
        <v>67</v>
      </c>
      <c r="E357" s="7">
        <v>46073</v>
      </c>
      <c r="F357" s="7">
        <v>46083</v>
      </c>
      <c r="G357" s="8" t="s">
        <v>323</v>
      </c>
      <c r="H357" s="2">
        <v>12.25</v>
      </c>
      <c r="I357" s="9">
        <v>2686</v>
      </c>
      <c r="J357" s="5" t="s">
        <v>69</v>
      </c>
      <c r="K357" s="10">
        <v>4390</v>
      </c>
    </row>
    <row r="358" spans="1:11" x14ac:dyDescent="0.35">
      <c r="A358" s="88" t="s">
        <v>67</v>
      </c>
      <c r="B358" s="7">
        <v>2026</v>
      </c>
      <c r="C358" s="7" t="s">
        <v>72</v>
      </c>
      <c r="D358" s="7">
        <v>69</v>
      </c>
      <c r="E358" s="7">
        <v>46074</v>
      </c>
      <c r="F358" s="7">
        <v>46079</v>
      </c>
      <c r="G358" s="8" t="s">
        <v>323</v>
      </c>
      <c r="H358" s="6">
        <v>12.25</v>
      </c>
      <c r="I358" s="9">
        <v>2159</v>
      </c>
      <c r="J358" s="5" t="s">
        <v>69</v>
      </c>
      <c r="K358" s="10">
        <v>4390</v>
      </c>
    </row>
    <row r="359" spans="1:11" x14ac:dyDescent="0.35">
      <c r="A359" s="7" t="s">
        <v>67</v>
      </c>
      <c r="B359" s="7">
        <v>2026</v>
      </c>
      <c r="C359" s="7" t="s">
        <v>72</v>
      </c>
      <c r="D359" s="7">
        <v>60</v>
      </c>
      <c r="E359" s="7">
        <v>46075</v>
      </c>
      <c r="F359" s="7">
        <v>46096</v>
      </c>
      <c r="G359" s="8" t="s">
        <v>323</v>
      </c>
      <c r="H359" s="2">
        <v>12.25</v>
      </c>
      <c r="I359" s="9">
        <v>4148</v>
      </c>
      <c r="J359" s="5" t="s">
        <v>69</v>
      </c>
      <c r="K359" s="10">
        <v>4390</v>
      </c>
    </row>
    <row r="360" spans="1:11" x14ac:dyDescent="0.35">
      <c r="A360" s="88" t="s">
        <v>67</v>
      </c>
      <c r="B360" s="7">
        <v>2026</v>
      </c>
      <c r="C360" s="7" t="s">
        <v>72</v>
      </c>
      <c r="D360" s="7">
        <v>830</v>
      </c>
      <c r="E360" s="7">
        <v>46076</v>
      </c>
      <c r="F360" s="7">
        <v>46080</v>
      </c>
      <c r="G360" s="8" t="s">
        <v>323</v>
      </c>
      <c r="H360" s="6">
        <v>12.25</v>
      </c>
      <c r="I360" s="9">
        <v>1700</v>
      </c>
      <c r="J360" s="5" t="s">
        <v>69</v>
      </c>
      <c r="K360" s="10">
        <v>4390</v>
      </c>
    </row>
    <row r="361" spans="1:11" x14ac:dyDescent="0.35">
      <c r="A361" s="7" t="s">
        <v>67</v>
      </c>
      <c r="B361" s="7">
        <v>2026</v>
      </c>
      <c r="C361" s="7" t="s">
        <v>72</v>
      </c>
      <c r="D361" s="7">
        <v>930</v>
      </c>
      <c r="E361" s="7">
        <v>46078</v>
      </c>
      <c r="F361" s="7">
        <v>46086</v>
      </c>
      <c r="G361" s="8" t="s">
        <v>70</v>
      </c>
      <c r="H361" s="2">
        <v>12.25</v>
      </c>
      <c r="I361" s="9">
        <v>2975</v>
      </c>
      <c r="J361" s="5" t="s">
        <v>69</v>
      </c>
      <c r="K361" s="10">
        <v>3690</v>
      </c>
    </row>
    <row r="362" spans="1:11" x14ac:dyDescent="0.35">
      <c r="A362" s="88" t="s">
        <v>67</v>
      </c>
      <c r="B362" s="7">
        <v>2026</v>
      </c>
      <c r="C362" s="7" t="s">
        <v>72</v>
      </c>
      <c r="D362" s="7">
        <v>69</v>
      </c>
      <c r="E362" s="7">
        <v>46079</v>
      </c>
      <c r="F362" s="7">
        <v>46087</v>
      </c>
      <c r="G362" s="8" t="s">
        <v>323</v>
      </c>
      <c r="H362" s="6">
        <v>12.25</v>
      </c>
      <c r="I362" s="9">
        <v>1700</v>
      </c>
      <c r="J362" s="5" t="s">
        <v>69</v>
      </c>
      <c r="K362" s="10">
        <v>4390</v>
      </c>
    </row>
    <row r="363" spans="1:11" x14ac:dyDescent="0.35">
      <c r="A363" s="7" t="s">
        <v>67</v>
      </c>
      <c r="B363" s="7">
        <v>2026</v>
      </c>
      <c r="C363" s="7" t="s">
        <v>72</v>
      </c>
      <c r="D363" s="7">
        <v>66</v>
      </c>
      <c r="E363" s="7">
        <v>46079</v>
      </c>
      <c r="F363" s="7">
        <v>46088</v>
      </c>
      <c r="G363" s="8" t="s">
        <v>70</v>
      </c>
      <c r="H363" s="2">
        <v>12.25</v>
      </c>
      <c r="I363" s="9">
        <v>2703</v>
      </c>
      <c r="J363" s="5" t="s">
        <v>69</v>
      </c>
      <c r="K363" s="10">
        <v>3690</v>
      </c>
    </row>
    <row r="364" spans="1:11" x14ac:dyDescent="0.35">
      <c r="A364" s="88" t="s">
        <v>67</v>
      </c>
      <c r="B364" s="7">
        <v>2026</v>
      </c>
      <c r="C364" s="7" t="s">
        <v>72</v>
      </c>
      <c r="D364" s="7">
        <v>65</v>
      </c>
      <c r="E364" s="7">
        <v>46080</v>
      </c>
      <c r="F364" s="7">
        <v>46096</v>
      </c>
      <c r="G364" s="8" t="s">
        <v>323</v>
      </c>
      <c r="H364" s="6">
        <v>12.25</v>
      </c>
      <c r="I364" s="9">
        <v>3519</v>
      </c>
      <c r="J364" s="5" t="s">
        <v>69</v>
      </c>
      <c r="K364" s="10">
        <v>4390</v>
      </c>
    </row>
    <row r="365" spans="1:11" x14ac:dyDescent="0.35">
      <c r="A365" s="7" t="s">
        <v>67</v>
      </c>
      <c r="B365" s="7">
        <v>2026</v>
      </c>
      <c r="C365" s="7" t="s">
        <v>72</v>
      </c>
      <c r="D365" s="7">
        <v>831</v>
      </c>
      <c r="E365" s="7">
        <v>46080</v>
      </c>
      <c r="F365" s="7">
        <v>46103</v>
      </c>
      <c r="G365" s="8" t="s">
        <v>323</v>
      </c>
      <c r="H365" s="2">
        <v>12.25</v>
      </c>
      <c r="I365" s="9">
        <v>10965</v>
      </c>
      <c r="J365" s="5" t="s">
        <v>69</v>
      </c>
      <c r="K365" s="10">
        <v>4390</v>
      </c>
    </row>
    <row r="366" spans="1:11" x14ac:dyDescent="0.35">
      <c r="A366" s="88" t="s">
        <v>67</v>
      </c>
      <c r="B366" s="7">
        <v>2026</v>
      </c>
      <c r="C366" s="7" t="s">
        <v>72</v>
      </c>
      <c r="D366" s="7">
        <v>830</v>
      </c>
      <c r="E366" s="7">
        <v>46081</v>
      </c>
      <c r="F366" s="7">
        <v>46089</v>
      </c>
      <c r="G366" s="8" t="s">
        <v>323</v>
      </c>
      <c r="H366" s="6">
        <v>12.25</v>
      </c>
      <c r="I366" s="9">
        <v>2737</v>
      </c>
      <c r="J366" s="5" t="s">
        <v>69</v>
      </c>
      <c r="K366" s="10">
        <v>4390</v>
      </c>
    </row>
    <row r="367" spans="1:11" x14ac:dyDescent="0.35">
      <c r="A367" s="7" t="s">
        <v>67</v>
      </c>
      <c r="B367" s="7">
        <v>2026</v>
      </c>
      <c r="C367" s="7" t="s">
        <v>73</v>
      </c>
      <c r="D367" s="7">
        <v>67</v>
      </c>
      <c r="E367" s="7">
        <v>46083</v>
      </c>
      <c r="F367" s="7">
        <v>46093</v>
      </c>
      <c r="G367" s="8" t="s">
        <v>323</v>
      </c>
      <c r="H367" s="2">
        <v>12.25</v>
      </c>
      <c r="I367" s="9">
        <v>2465</v>
      </c>
      <c r="J367" s="5" t="s">
        <v>69</v>
      </c>
      <c r="K367" s="10">
        <v>4390</v>
      </c>
    </row>
    <row r="368" spans="1:11" x14ac:dyDescent="0.35">
      <c r="A368" s="88" t="s">
        <v>67</v>
      </c>
      <c r="B368" s="7">
        <v>2026</v>
      </c>
      <c r="C368" s="7" t="s">
        <v>73</v>
      </c>
      <c r="D368" s="7">
        <v>931</v>
      </c>
      <c r="E368" s="7">
        <v>46085</v>
      </c>
      <c r="F368" s="7">
        <v>46092</v>
      </c>
      <c r="G368" s="8" t="s">
        <v>70</v>
      </c>
      <c r="H368" s="6">
        <v>12.25</v>
      </c>
      <c r="I368" s="9">
        <v>2907</v>
      </c>
      <c r="J368" s="5" t="s">
        <v>69</v>
      </c>
      <c r="K368" s="10">
        <v>3690</v>
      </c>
    </row>
    <row r="369" spans="1:11" x14ac:dyDescent="0.35">
      <c r="A369" s="7" t="s">
        <v>67</v>
      </c>
      <c r="B369" s="7">
        <v>2026</v>
      </c>
      <c r="C369" s="7" t="s">
        <v>73</v>
      </c>
      <c r="D369" s="7">
        <v>930</v>
      </c>
      <c r="E369" s="7">
        <v>46086</v>
      </c>
      <c r="F369" s="7">
        <v>46092</v>
      </c>
      <c r="G369" s="8" t="s">
        <v>70</v>
      </c>
      <c r="H369" s="2">
        <v>12.25</v>
      </c>
      <c r="I369" s="9">
        <v>2142</v>
      </c>
      <c r="J369" s="5" t="s">
        <v>69</v>
      </c>
      <c r="K369" s="10">
        <v>3690</v>
      </c>
    </row>
    <row r="370" spans="1:11" x14ac:dyDescent="0.35">
      <c r="A370" s="88" t="s">
        <v>67</v>
      </c>
      <c r="B370" s="7">
        <v>2026</v>
      </c>
      <c r="C370" s="7" t="s">
        <v>73</v>
      </c>
      <c r="D370" s="7">
        <v>69</v>
      </c>
      <c r="E370" s="7">
        <v>46087</v>
      </c>
      <c r="F370" s="7">
        <v>46091</v>
      </c>
      <c r="G370" s="8" t="s">
        <v>323</v>
      </c>
      <c r="H370" s="6">
        <v>12.25</v>
      </c>
      <c r="I370" s="9">
        <v>1887</v>
      </c>
      <c r="J370" s="5" t="s">
        <v>69</v>
      </c>
      <c r="K370" s="10">
        <v>4390</v>
      </c>
    </row>
    <row r="371" spans="1:11" x14ac:dyDescent="0.35">
      <c r="A371" s="7" t="s">
        <v>67</v>
      </c>
      <c r="B371" s="7">
        <v>2026</v>
      </c>
      <c r="C371" s="7" t="s">
        <v>73</v>
      </c>
      <c r="D371" s="7">
        <v>66</v>
      </c>
      <c r="E371" s="7">
        <v>46088</v>
      </c>
      <c r="F371" s="7">
        <v>46096</v>
      </c>
      <c r="G371" s="8" t="s">
        <v>323</v>
      </c>
      <c r="H371" s="2">
        <v>12.25</v>
      </c>
      <c r="I371" s="9">
        <v>2499</v>
      </c>
      <c r="J371" s="5" t="s">
        <v>69</v>
      </c>
      <c r="K371" s="10">
        <v>4390</v>
      </c>
    </row>
    <row r="372" spans="1:11" x14ac:dyDescent="0.35">
      <c r="A372" s="88" t="s">
        <v>67</v>
      </c>
      <c r="B372" s="7">
        <v>2026</v>
      </c>
      <c r="C372" s="7" t="s">
        <v>73</v>
      </c>
      <c r="D372" s="7">
        <v>830</v>
      </c>
      <c r="E372" s="7">
        <v>46089</v>
      </c>
      <c r="F372" s="7">
        <v>46154</v>
      </c>
      <c r="G372" s="8" t="s">
        <v>323</v>
      </c>
      <c r="H372" s="6">
        <v>12.25</v>
      </c>
      <c r="I372" s="9">
        <v>1972</v>
      </c>
      <c r="J372" s="5" t="s">
        <v>69</v>
      </c>
      <c r="K372" s="10">
        <v>4390</v>
      </c>
    </row>
    <row r="373" spans="1:11" x14ac:dyDescent="0.35">
      <c r="A373" s="7" t="s">
        <v>67</v>
      </c>
      <c r="B373" s="7">
        <v>2026</v>
      </c>
      <c r="C373" s="7" t="s">
        <v>73</v>
      </c>
      <c r="D373" s="7">
        <v>38</v>
      </c>
      <c r="E373" s="7">
        <v>46090</v>
      </c>
      <c r="F373" s="7">
        <v>46106</v>
      </c>
      <c r="G373" s="8" t="s">
        <v>323</v>
      </c>
      <c r="H373" s="2">
        <v>12.25</v>
      </c>
      <c r="I373" s="9">
        <v>2567</v>
      </c>
      <c r="J373" s="5" t="s">
        <v>69</v>
      </c>
      <c r="K373" s="10">
        <v>4390</v>
      </c>
    </row>
    <row r="374" spans="1:11" x14ac:dyDescent="0.35">
      <c r="A374" s="88" t="s">
        <v>67</v>
      </c>
      <c r="B374" s="7">
        <v>2026</v>
      </c>
      <c r="C374" s="7" t="s">
        <v>73</v>
      </c>
      <c r="D374" s="7">
        <v>69</v>
      </c>
      <c r="E374" s="7">
        <v>46091</v>
      </c>
      <c r="F374" s="7">
        <v>46097</v>
      </c>
      <c r="G374" s="8" t="s">
        <v>70</v>
      </c>
      <c r="H374" s="6">
        <v>12.25</v>
      </c>
      <c r="I374" s="9">
        <v>3094</v>
      </c>
      <c r="J374" s="5" t="s">
        <v>69</v>
      </c>
      <c r="K374" s="10">
        <v>3690</v>
      </c>
    </row>
    <row r="375" spans="1:11" x14ac:dyDescent="0.35">
      <c r="A375" s="7" t="s">
        <v>67</v>
      </c>
      <c r="B375" s="7">
        <v>2026</v>
      </c>
      <c r="C375" s="7" t="s">
        <v>73</v>
      </c>
      <c r="D375" s="7">
        <v>931</v>
      </c>
      <c r="E375" s="7">
        <v>46092</v>
      </c>
      <c r="F375" s="7">
        <v>46100</v>
      </c>
      <c r="G375" s="8" t="s">
        <v>70</v>
      </c>
      <c r="H375" s="2">
        <v>12.25</v>
      </c>
      <c r="I375" s="9">
        <v>3281</v>
      </c>
      <c r="J375" s="5" t="s">
        <v>69</v>
      </c>
      <c r="K375" s="10">
        <v>3690</v>
      </c>
    </row>
    <row r="376" spans="1:11" x14ac:dyDescent="0.35">
      <c r="A376" s="88" t="s">
        <v>67</v>
      </c>
      <c r="B376" s="7">
        <v>2026</v>
      </c>
      <c r="C376" s="7" t="s">
        <v>73</v>
      </c>
      <c r="D376" s="7">
        <v>930</v>
      </c>
      <c r="E376" s="7">
        <v>46092</v>
      </c>
      <c r="F376" s="7">
        <v>46102</v>
      </c>
      <c r="G376" s="8" t="s">
        <v>70</v>
      </c>
      <c r="H376" s="6">
        <v>12.25</v>
      </c>
      <c r="I376" s="9">
        <v>3485</v>
      </c>
      <c r="J376" s="5" t="s">
        <v>69</v>
      </c>
      <c r="K376" s="10">
        <v>3690</v>
      </c>
    </row>
    <row r="377" spans="1:11" x14ac:dyDescent="0.35">
      <c r="A377" s="7" t="s">
        <v>67</v>
      </c>
      <c r="B377" s="7">
        <v>2026</v>
      </c>
      <c r="C377" s="7" t="s">
        <v>73</v>
      </c>
      <c r="D377" s="7">
        <v>67</v>
      </c>
      <c r="E377" s="7">
        <v>46093</v>
      </c>
      <c r="F377" s="7">
        <v>46096</v>
      </c>
      <c r="G377" s="8" t="s">
        <v>70</v>
      </c>
      <c r="H377" s="2">
        <v>12.25</v>
      </c>
      <c r="I377" s="9">
        <v>731</v>
      </c>
      <c r="J377" s="5" t="s">
        <v>74</v>
      </c>
      <c r="K377" s="10">
        <v>3690</v>
      </c>
    </row>
    <row r="378" spans="1:11" x14ac:dyDescent="0.35">
      <c r="A378" s="88" t="s">
        <v>67</v>
      </c>
      <c r="B378" s="7">
        <v>2026</v>
      </c>
      <c r="C378" s="7" t="s">
        <v>73</v>
      </c>
      <c r="D378" s="7">
        <v>67</v>
      </c>
      <c r="E378" s="7">
        <v>46096</v>
      </c>
      <c r="F378" s="7">
        <v>46106</v>
      </c>
      <c r="G378" s="8" t="s">
        <v>323</v>
      </c>
      <c r="H378" s="6">
        <v>12.25</v>
      </c>
      <c r="I378" s="9">
        <v>2261</v>
      </c>
      <c r="J378" s="5" t="s">
        <v>69</v>
      </c>
      <c r="K378" s="10">
        <v>4390</v>
      </c>
    </row>
    <row r="379" spans="1:11" x14ac:dyDescent="0.35">
      <c r="A379" s="7" t="s">
        <v>67</v>
      </c>
      <c r="B379" s="7">
        <v>2026</v>
      </c>
      <c r="C379" s="7" t="s">
        <v>73</v>
      </c>
      <c r="D379" s="7">
        <v>66</v>
      </c>
      <c r="E379" s="7">
        <v>46096</v>
      </c>
      <c r="F379" s="7">
        <v>46112</v>
      </c>
      <c r="G379" s="8" t="s">
        <v>70</v>
      </c>
      <c r="H379" s="2">
        <v>12.25</v>
      </c>
      <c r="I379" s="9">
        <v>2805</v>
      </c>
      <c r="J379" s="5" t="s">
        <v>69</v>
      </c>
      <c r="K379" s="10">
        <v>3690</v>
      </c>
    </row>
    <row r="380" spans="1:11" x14ac:dyDescent="0.35">
      <c r="A380" s="88" t="s">
        <v>67</v>
      </c>
      <c r="B380" s="7">
        <v>2026</v>
      </c>
      <c r="C380" s="7" t="s">
        <v>73</v>
      </c>
      <c r="D380" s="7">
        <v>65</v>
      </c>
      <c r="E380" s="7">
        <v>46096</v>
      </c>
      <c r="F380" s="7">
        <v>46116</v>
      </c>
      <c r="G380" s="8" t="s">
        <v>323</v>
      </c>
      <c r="H380" s="6">
        <v>12.25</v>
      </c>
      <c r="I380" s="9">
        <v>3077</v>
      </c>
      <c r="J380" s="5" t="s">
        <v>69</v>
      </c>
      <c r="K380" s="10">
        <v>4390</v>
      </c>
    </row>
    <row r="381" spans="1:11" x14ac:dyDescent="0.35">
      <c r="A381" s="7" t="s">
        <v>67</v>
      </c>
      <c r="B381" s="7">
        <v>2026</v>
      </c>
      <c r="C381" s="7" t="s">
        <v>73</v>
      </c>
      <c r="D381" s="7">
        <v>60</v>
      </c>
      <c r="E381" s="7">
        <v>46097</v>
      </c>
      <c r="F381" s="7">
        <v>46105</v>
      </c>
      <c r="G381" s="8" t="s">
        <v>70</v>
      </c>
      <c r="H381" s="2">
        <v>12.25</v>
      </c>
      <c r="I381" s="9">
        <v>4097</v>
      </c>
      <c r="J381" s="5" t="s">
        <v>69</v>
      </c>
      <c r="K381" s="10">
        <v>3690</v>
      </c>
    </row>
    <row r="382" spans="1:11" x14ac:dyDescent="0.35">
      <c r="A382" s="88" t="s">
        <v>67</v>
      </c>
      <c r="B382" s="7">
        <v>2026</v>
      </c>
      <c r="C382" s="7" t="s">
        <v>73</v>
      </c>
      <c r="D382" s="7">
        <v>69</v>
      </c>
      <c r="E382" s="7">
        <v>46097</v>
      </c>
      <c r="F382" s="7">
        <v>46105</v>
      </c>
      <c r="G382" s="8" t="s">
        <v>323</v>
      </c>
      <c r="H382" s="6">
        <v>12.25</v>
      </c>
      <c r="I382" s="9">
        <v>2652</v>
      </c>
      <c r="J382" s="5" t="s">
        <v>69</v>
      </c>
      <c r="K382" s="10">
        <v>4390</v>
      </c>
    </row>
    <row r="383" spans="1:11" x14ac:dyDescent="0.35">
      <c r="A383" s="7" t="s">
        <v>67</v>
      </c>
      <c r="B383" s="7">
        <v>2026</v>
      </c>
      <c r="C383" s="7" t="s">
        <v>73</v>
      </c>
      <c r="D383" s="7">
        <v>931</v>
      </c>
      <c r="E383" s="7">
        <v>46100</v>
      </c>
      <c r="F383" s="7">
        <v>46106</v>
      </c>
      <c r="G383" s="8" t="s">
        <v>70</v>
      </c>
      <c r="H383" s="2">
        <v>12.25</v>
      </c>
      <c r="I383" s="9">
        <v>2176</v>
      </c>
      <c r="J383" s="5" t="s">
        <v>69</v>
      </c>
      <c r="K383" s="10">
        <v>3690</v>
      </c>
    </row>
    <row r="384" spans="1:11" x14ac:dyDescent="0.35">
      <c r="A384" s="88" t="s">
        <v>67</v>
      </c>
      <c r="B384" s="7">
        <v>2026</v>
      </c>
      <c r="C384" s="7" t="s">
        <v>73</v>
      </c>
      <c r="D384" s="7">
        <v>930</v>
      </c>
      <c r="E384" s="7">
        <v>46102</v>
      </c>
      <c r="F384" s="7">
        <v>46112</v>
      </c>
      <c r="G384" s="8" t="s">
        <v>323</v>
      </c>
      <c r="H384" s="6">
        <v>12.25</v>
      </c>
      <c r="I384" s="9">
        <v>3094</v>
      </c>
      <c r="J384" s="5" t="s">
        <v>69</v>
      </c>
      <c r="K384" s="10">
        <v>4390</v>
      </c>
    </row>
    <row r="385" spans="1:11" x14ac:dyDescent="0.35">
      <c r="A385" s="7" t="s">
        <v>67</v>
      </c>
      <c r="B385" s="7">
        <v>2026</v>
      </c>
      <c r="C385" s="7" t="s">
        <v>73</v>
      </c>
      <c r="D385" s="7">
        <v>831</v>
      </c>
      <c r="E385" s="7">
        <v>46103</v>
      </c>
      <c r="F385" s="7">
        <v>46153</v>
      </c>
      <c r="G385" s="8" t="s">
        <v>323</v>
      </c>
      <c r="H385" s="2">
        <v>12.25</v>
      </c>
      <c r="I385" s="9">
        <v>11934</v>
      </c>
      <c r="J385" s="5" t="s">
        <v>69</v>
      </c>
      <c r="K385" s="10">
        <v>4390</v>
      </c>
    </row>
    <row r="386" spans="1:11" x14ac:dyDescent="0.35">
      <c r="A386" s="88" t="s">
        <v>67</v>
      </c>
      <c r="B386" s="7">
        <v>2026</v>
      </c>
      <c r="C386" s="7" t="s">
        <v>73</v>
      </c>
      <c r="D386" s="7">
        <v>60</v>
      </c>
      <c r="E386" s="7">
        <v>46105</v>
      </c>
      <c r="F386" s="7">
        <v>46116</v>
      </c>
      <c r="G386" s="8" t="s">
        <v>323</v>
      </c>
      <c r="H386" s="6">
        <v>12.25</v>
      </c>
      <c r="I386" s="9">
        <v>3859</v>
      </c>
      <c r="J386" s="5" t="s">
        <v>69</v>
      </c>
      <c r="K386" s="10">
        <v>4390</v>
      </c>
    </row>
    <row r="387" spans="1:11" x14ac:dyDescent="0.35">
      <c r="A387" s="7" t="s">
        <v>67</v>
      </c>
      <c r="B387" s="7">
        <v>2026</v>
      </c>
      <c r="C387" s="7" t="s">
        <v>73</v>
      </c>
      <c r="D387" s="7">
        <v>69</v>
      </c>
      <c r="E387" s="7">
        <v>46105</v>
      </c>
      <c r="F387" s="7">
        <v>46131</v>
      </c>
      <c r="G387" s="8" t="s">
        <v>323</v>
      </c>
      <c r="H387" s="2">
        <v>12.25</v>
      </c>
      <c r="I387" s="9">
        <v>4794</v>
      </c>
      <c r="J387" s="5" t="s">
        <v>69</v>
      </c>
      <c r="K387" s="10">
        <v>4390</v>
      </c>
    </row>
    <row r="388" spans="1:11" x14ac:dyDescent="0.35">
      <c r="A388" s="88" t="s">
        <v>67</v>
      </c>
      <c r="B388" s="7">
        <v>2026</v>
      </c>
      <c r="C388" s="7" t="s">
        <v>73</v>
      </c>
      <c r="D388" s="7">
        <v>67</v>
      </c>
      <c r="E388" s="7">
        <v>46106</v>
      </c>
      <c r="F388" s="7">
        <v>46118</v>
      </c>
      <c r="G388" s="8" t="s">
        <v>323</v>
      </c>
      <c r="H388" s="6">
        <v>12.25</v>
      </c>
      <c r="I388" s="9">
        <v>3570</v>
      </c>
      <c r="J388" s="5" t="s">
        <v>69</v>
      </c>
      <c r="K388" s="10">
        <v>4390</v>
      </c>
    </row>
    <row r="389" spans="1:11" x14ac:dyDescent="0.35">
      <c r="A389" s="7" t="s">
        <v>67</v>
      </c>
      <c r="B389" s="7">
        <v>2026</v>
      </c>
      <c r="C389" s="7" t="s">
        <v>73</v>
      </c>
      <c r="D389" s="7">
        <v>38</v>
      </c>
      <c r="E389" s="7">
        <v>46106</v>
      </c>
      <c r="F389" s="7">
        <v>46134</v>
      </c>
      <c r="G389" s="8" t="s">
        <v>323</v>
      </c>
      <c r="H389" s="2">
        <v>12.25</v>
      </c>
      <c r="I389" s="9">
        <v>2839</v>
      </c>
      <c r="J389" s="5" t="s">
        <v>69</v>
      </c>
      <c r="K389" s="10">
        <v>4390</v>
      </c>
    </row>
    <row r="390" spans="1:11" x14ac:dyDescent="0.35">
      <c r="A390" s="88" t="s">
        <v>67</v>
      </c>
      <c r="B390" s="7">
        <v>2026</v>
      </c>
      <c r="C390" s="7" t="s">
        <v>73</v>
      </c>
      <c r="D390" s="7">
        <v>931</v>
      </c>
      <c r="E390" s="7">
        <v>46106</v>
      </c>
      <c r="F390" s="7">
        <v>46115</v>
      </c>
      <c r="G390" s="8" t="s">
        <v>70</v>
      </c>
      <c r="H390" s="6">
        <v>12.25</v>
      </c>
      <c r="I390" s="9">
        <v>3672</v>
      </c>
      <c r="J390" s="5" t="s">
        <v>69</v>
      </c>
      <c r="K390" s="10">
        <v>3690</v>
      </c>
    </row>
    <row r="391" spans="1:11" x14ac:dyDescent="0.35">
      <c r="A391" s="7" t="s">
        <v>67</v>
      </c>
      <c r="B391" s="7">
        <v>2026</v>
      </c>
      <c r="C391" s="7" t="s">
        <v>73</v>
      </c>
      <c r="D391" s="7">
        <v>932</v>
      </c>
      <c r="E391" s="7">
        <v>46107</v>
      </c>
      <c r="F391" s="7">
        <v>46115</v>
      </c>
      <c r="G391" s="8" t="s">
        <v>323</v>
      </c>
      <c r="H391" s="2">
        <v>12.25</v>
      </c>
      <c r="I391" s="9">
        <v>1989</v>
      </c>
      <c r="J391" s="5" t="s">
        <v>69</v>
      </c>
      <c r="K391" s="10">
        <v>4390</v>
      </c>
    </row>
    <row r="392" spans="1:11" x14ac:dyDescent="0.35">
      <c r="A392" s="88" t="s">
        <v>67</v>
      </c>
      <c r="B392" s="7">
        <v>2026</v>
      </c>
      <c r="C392" s="7" t="s">
        <v>73</v>
      </c>
      <c r="D392" s="7">
        <v>66</v>
      </c>
      <c r="E392" s="7">
        <v>46112</v>
      </c>
      <c r="F392" s="7">
        <v>46120</v>
      </c>
      <c r="G392" s="8" t="s">
        <v>323</v>
      </c>
      <c r="H392" s="6">
        <v>12.25</v>
      </c>
      <c r="I392" s="9">
        <v>2431</v>
      </c>
      <c r="J392" s="5" t="s">
        <v>69</v>
      </c>
      <c r="K392" s="10">
        <v>4390</v>
      </c>
    </row>
    <row r="393" spans="1:11" x14ac:dyDescent="0.35">
      <c r="A393" s="7" t="s">
        <v>67</v>
      </c>
      <c r="B393" s="7">
        <v>2026</v>
      </c>
      <c r="C393" s="7" t="s">
        <v>73</v>
      </c>
      <c r="D393" s="7">
        <v>930</v>
      </c>
      <c r="E393" s="7">
        <v>46112</v>
      </c>
      <c r="F393" s="7">
        <v>46119</v>
      </c>
      <c r="G393" s="8" t="s">
        <v>70</v>
      </c>
      <c r="H393" s="2">
        <v>12.25</v>
      </c>
      <c r="I393" s="9">
        <v>3043</v>
      </c>
      <c r="J393" s="5" t="s">
        <v>69</v>
      </c>
      <c r="K393" s="10">
        <v>3690</v>
      </c>
    </row>
    <row r="394" spans="1:11" x14ac:dyDescent="0.35">
      <c r="A394" s="88" t="s">
        <v>67</v>
      </c>
      <c r="B394" s="7">
        <v>2026</v>
      </c>
      <c r="C394" s="7" t="s">
        <v>75</v>
      </c>
      <c r="D394" s="7">
        <v>931</v>
      </c>
      <c r="E394" s="7">
        <v>46115</v>
      </c>
      <c r="F394" s="7">
        <v>46127</v>
      </c>
      <c r="G394" s="8" t="s">
        <v>70</v>
      </c>
      <c r="H394" s="6">
        <v>12.25</v>
      </c>
      <c r="I394" s="9">
        <v>4777</v>
      </c>
      <c r="J394" s="5" t="s">
        <v>69</v>
      </c>
      <c r="K394" s="10">
        <v>3690</v>
      </c>
    </row>
    <row r="395" spans="1:11" x14ac:dyDescent="0.35">
      <c r="A395" s="7" t="s">
        <v>67</v>
      </c>
      <c r="B395" s="7">
        <v>2026</v>
      </c>
      <c r="C395" s="7" t="s">
        <v>75</v>
      </c>
      <c r="D395" s="7">
        <v>932</v>
      </c>
      <c r="E395" s="7">
        <v>46115</v>
      </c>
      <c r="F395" s="7">
        <v>46121</v>
      </c>
      <c r="G395" s="8" t="s">
        <v>70</v>
      </c>
      <c r="H395" s="2">
        <v>12.25</v>
      </c>
      <c r="I395" s="9">
        <v>2108</v>
      </c>
      <c r="J395" s="5" t="s">
        <v>69</v>
      </c>
      <c r="K395" s="10">
        <v>3690</v>
      </c>
    </row>
    <row r="396" spans="1:11" x14ac:dyDescent="0.35">
      <c r="A396" s="88" t="s">
        <v>67</v>
      </c>
      <c r="B396" s="7">
        <v>2026</v>
      </c>
      <c r="C396" s="7" t="s">
        <v>75</v>
      </c>
      <c r="D396" s="7">
        <v>60</v>
      </c>
      <c r="E396" s="7">
        <v>46116</v>
      </c>
      <c r="F396" s="7">
        <v>46121</v>
      </c>
      <c r="G396" s="8" t="s">
        <v>70</v>
      </c>
      <c r="H396" s="6">
        <v>12.25</v>
      </c>
      <c r="I396" s="9">
        <v>1972</v>
      </c>
      <c r="J396" s="5" t="s">
        <v>69</v>
      </c>
      <c r="K396" s="10">
        <v>3690</v>
      </c>
    </row>
    <row r="397" spans="1:11" x14ac:dyDescent="0.35">
      <c r="A397" s="7" t="s">
        <v>67</v>
      </c>
      <c r="B397" s="7">
        <v>2026</v>
      </c>
      <c r="C397" s="7" t="s">
        <v>75</v>
      </c>
      <c r="D397" s="7">
        <v>65</v>
      </c>
      <c r="E397" s="7">
        <v>46116</v>
      </c>
      <c r="F397" s="7">
        <v>46133</v>
      </c>
      <c r="G397" s="8" t="s">
        <v>323</v>
      </c>
      <c r="H397" s="2">
        <v>12.25</v>
      </c>
      <c r="I397" s="9">
        <v>3944</v>
      </c>
      <c r="J397" s="5" t="s">
        <v>69</v>
      </c>
      <c r="K397" s="10">
        <v>4390</v>
      </c>
    </row>
    <row r="398" spans="1:11" x14ac:dyDescent="0.35">
      <c r="A398" s="88" t="s">
        <v>67</v>
      </c>
      <c r="B398" s="7">
        <v>2026</v>
      </c>
      <c r="C398" s="7" t="s">
        <v>75</v>
      </c>
      <c r="D398" s="7">
        <v>67</v>
      </c>
      <c r="E398" s="7">
        <v>46118</v>
      </c>
      <c r="F398" s="7">
        <v>46166</v>
      </c>
      <c r="G398" s="8" t="s">
        <v>323</v>
      </c>
      <c r="H398" s="6">
        <v>12.25</v>
      </c>
      <c r="I398" s="9">
        <v>3111</v>
      </c>
      <c r="J398" s="5" t="s">
        <v>69</v>
      </c>
      <c r="K398" s="10">
        <v>4390</v>
      </c>
    </row>
    <row r="399" spans="1:11" x14ac:dyDescent="0.35">
      <c r="A399" s="7" t="s">
        <v>67</v>
      </c>
      <c r="B399" s="7">
        <v>2026</v>
      </c>
      <c r="C399" s="7" t="s">
        <v>75</v>
      </c>
      <c r="D399" s="7">
        <v>66</v>
      </c>
      <c r="E399" s="7">
        <v>46120</v>
      </c>
      <c r="F399" s="7">
        <v>46132</v>
      </c>
      <c r="G399" s="8" t="s">
        <v>70</v>
      </c>
      <c r="H399" s="2">
        <v>12.25</v>
      </c>
      <c r="I399" s="9">
        <v>2499</v>
      </c>
      <c r="J399" s="5" t="s">
        <v>69</v>
      </c>
      <c r="K399" s="10">
        <v>3690</v>
      </c>
    </row>
    <row r="400" spans="1:11" x14ac:dyDescent="0.35">
      <c r="A400" s="88" t="s">
        <v>67</v>
      </c>
      <c r="B400" s="7">
        <v>2026</v>
      </c>
      <c r="C400" s="7" t="s">
        <v>75</v>
      </c>
      <c r="D400" s="7">
        <v>60</v>
      </c>
      <c r="E400" s="7">
        <v>46121</v>
      </c>
      <c r="F400" s="7">
        <v>46132</v>
      </c>
      <c r="G400" s="8" t="s">
        <v>323</v>
      </c>
      <c r="H400" s="6">
        <v>12.25</v>
      </c>
      <c r="I400" s="9">
        <v>3553</v>
      </c>
      <c r="J400" s="5" t="s">
        <v>69</v>
      </c>
      <c r="K400" s="10">
        <v>4390</v>
      </c>
    </row>
    <row r="401" spans="1:11" x14ac:dyDescent="0.35">
      <c r="A401" s="7" t="s">
        <v>67</v>
      </c>
      <c r="B401" s="7">
        <v>2026</v>
      </c>
      <c r="C401" s="7" t="s">
        <v>75</v>
      </c>
      <c r="D401" s="7">
        <v>932</v>
      </c>
      <c r="E401" s="7">
        <v>46121</v>
      </c>
      <c r="F401" s="7">
        <v>46127</v>
      </c>
      <c r="G401" s="8" t="s">
        <v>323</v>
      </c>
      <c r="H401" s="2">
        <v>12.25</v>
      </c>
      <c r="I401" s="9">
        <v>1734</v>
      </c>
      <c r="J401" s="5" t="s">
        <v>69</v>
      </c>
      <c r="K401" s="10">
        <v>4390</v>
      </c>
    </row>
    <row r="402" spans="1:11" x14ac:dyDescent="0.35">
      <c r="A402" s="88" t="s">
        <v>67</v>
      </c>
      <c r="B402" s="7">
        <v>2026</v>
      </c>
      <c r="C402" s="7" t="s">
        <v>75</v>
      </c>
      <c r="D402" s="7">
        <v>930</v>
      </c>
      <c r="E402" s="7">
        <v>46119</v>
      </c>
      <c r="F402" s="7">
        <v>46126</v>
      </c>
      <c r="G402" s="8" t="s">
        <v>70</v>
      </c>
      <c r="H402" s="6">
        <v>12.25</v>
      </c>
      <c r="I402" s="9">
        <v>2329</v>
      </c>
      <c r="J402" s="5" t="s">
        <v>69</v>
      </c>
      <c r="K402" s="10">
        <v>3690</v>
      </c>
    </row>
    <row r="403" spans="1:11" x14ac:dyDescent="0.35">
      <c r="A403" s="7" t="s">
        <v>67</v>
      </c>
      <c r="B403" s="7">
        <v>2026</v>
      </c>
      <c r="C403" s="7" t="s">
        <v>75</v>
      </c>
      <c r="D403" s="7">
        <v>64</v>
      </c>
      <c r="E403" s="7">
        <v>46122</v>
      </c>
      <c r="F403" s="7">
        <v>46138</v>
      </c>
      <c r="G403" s="8" t="s">
        <v>323</v>
      </c>
      <c r="H403" s="2">
        <v>12.25</v>
      </c>
      <c r="I403" s="9">
        <v>8738</v>
      </c>
      <c r="J403" s="5" t="s">
        <v>69</v>
      </c>
      <c r="K403" s="10">
        <v>4390</v>
      </c>
    </row>
    <row r="404" spans="1:11" x14ac:dyDescent="0.35">
      <c r="A404" s="88" t="s">
        <v>67</v>
      </c>
      <c r="B404" s="7">
        <v>2026</v>
      </c>
      <c r="C404" s="7" t="s">
        <v>75</v>
      </c>
      <c r="D404" s="7">
        <v>930</v>
      </c>
      <c r="E404" s="7">
        <v>46126</v>
      </c>
      <c r="F404" s="7">
        <v>46133</v>
      </c>
      <c r="G404" s="8" t="s">
        <v>70</v>
      </c>
      <c r="H404" s="6">
        <v>12.25</v>
      </c>
      <c r="I404" s="9">
        <v>2618</v>
      </c>
      <c r="J404" s="5" t="s">
        <v>69</v>
      </c>
      <c r="K404" s="10">
        <v>3690</v>
      </c>
    </row>
    <row r="405" spans="1:11" x14ac:dyDescent="0.35">
      <c r="A405" s="7" t="s">
        <v>67</v>
      </c>
      <c r="B405" s="7">
        <v>2026</v>
      </c>
      <c r="C405" s="7" t="s">
        <v>75</v>
      </c>
      <c r="D405" s="7">
        <v>932</v>
      </c>
      <c r="E405" s="7">
        <v>46127</v>
      </c>
      <c r="F405" s="7">
        <v>46134</v>
      </c>
      <c r="G405" s="8" t="s">
        <v>323</v>
      </c>
      <c r="H405" s="2">
        <v>12.25</v>
      </c>
      <c r="I405" s="9">
        <v>2176</v>
      </c>
      <c r="J405" s="5" t="s">
        <v>69</v>
      </c>
      <c r="K405" s="10">
        <v>4390</v>
      </c>
    </row>
    <row r="406" spans="1:11" x14ac:dyDescent="0.35">
      <c r="A406" s="88" t="s">
        <v>67</v>
      </c>
      <c r="B406" s="7">
        <v>2026</v>
      </c>
      <c r="C406" s="7" t="s">
        <v>75</v>
      </c>
      <c r="D406" s="7">
        <v>931</v>
      </c>
      <c r="E406" s="7">
        <v>46127</v>
      </c>
      <c r="F406" s="7">
        <v>46135</v>
      </c>
      <c r="G406" s="8" t="s">
        <v>323</v>
      </c>
      <c r="H406" s="6">
        <v>12.25</v>
      </c>
      <c r="I406" s="9">
        <v>2686</v>
      </c>
      <c r="J406" s="5" t="s">
        <v>69</v>
      </c>
      <c r="K406" s="10">
        <v>4390</v>
      </c>
    </row>
    <row r="407" spans="1:11" x14ac:dyDescent="0.35">
      <c r="A407" s="7" t="s">
        <v>67</v>
      </c>
      <c r="B407" s="7">
        <v>2026</v>
      </c>
      <c r="C407" s="7" t="s">
        <v>75</v>
      </c>
      <c r="D407" s="7">
        <v>69</v>
      </c>
      <c r="E407" s="7">
        <v>46131</v>
      </c>
      <c r="F407" s="7">
        <v>46142</v>
      </c>
      <c r="G407" s="8" t="s">
        <v>70</v>
      </c>
      <c r="H407" s="2">
        <v>12.25</v>
      </c>
      <c r="I407" s="9">
        <v>3842</v>
      </c>
      <c r="J407" s="5" t="s">
        <v>69</v>
      </c>
      <c r="K407" s="10">
        <v>3690</v>
      </c>
    </row>
    <row r="408" spans="1:11" x14ac:dyDescent="0.35">
      <c r="A408" s="88" t="s">
        <v>67</v>
      </c>
      <c r="B408" s="7">
        <v>2026</v>
      </c>
      <c r="C408" s="7" t="s">
        <v>75</v>
      </c>
      <c r="D408" s="7">
        <v>60</v>
      </c>
      <c r="E408" s="7">
        <v>46132</v>
      </c>
      <c r="F408" s="7">
        <v>46140</v>
      </c>
      <c r="G408" s="8" t="s">
        <v>323</v>
      </c>
      <c r="H408" s="6">
        <v>12.25</v>
      </c>
      <c r="I408" s="9">
        <v>2516</v>
      </c>
      <c r="J408" s="5" t="s">
        <v>69</v>
      </c>
      <c r="K408" s="10">
        <v>4390</v>
      </c>
    </row>
    <row r="409" spans="1:11" x14ac:dyDescent="0.35">
      <c r="A409" s="7" t="s">
        <v>67</v>
      </c>
      <c r="B409" s="7">
        <v>2026</v>
      </c>
      <c r="C409" s="7" t="s">
        <v>75</v>
      </c>
      <c r="D409" s="7">
        <v>66</v>
      </c>
      <c r="E409" s="7">
        <v>46132</v>
      </c>
      <c r="F409" s="7">
        <v>46140</v>
      </c>
      <c r="G409" s="8" t="s">
        <v>70</v>
      </c>
      <c r="H409" s="2">
        <v>12.25</v>
      </c>
      <c r="I409" s="9">
        <v>2601</v>
      </c>
      <c r="J409" s="5" t="s">
        <v>69</v>
      </c>
      <c r="K409" s="10">
        <v>3690</v>
      </c>
    </row>
    <row r="410" spans="1:11" x14ac:dyDescent="0.35">
      <c r="A410" s="88" t="s">
        <v>67</v>
      </c>
      <c r="B410" s="7">
        <v>2026</v>
      </c>
      <c r="C410" s="7" t="s">
        <v>75</v>
      </c>
      <c r="D410" s="7">
        <v>65</v>
      </c>
      <c r="E410" s="7">
        <v>46133</v>
      </c>
      <c r="F410" s="7">
        <v>46143</v>
      </c>
      <c r="G410" s="8" t="s">
        <v>70</v>
      </c>
      <c r="H410" s="6">
        <v>12.25</v>
      </c>
      <c r="I410" s="9">
        <v>2754</v>
      </c>
      <c r="J410" s="5" t="s">
        <v>69</v>
      </c>
      <c r="K410" s="10">
        <v>3690</v>
      </c>
    </row>
    <row r="411" spans="1:11" x14ac:dyDescent="0.35">
      <c r="A411" s="7" t="s">
        <v>67</v>
      </c>
      <c r="B411" s="7">
        <v>2026</v>
      </c>
      <c r="C411" s="7" t="s">
        <v>75</v>
      </c>
      <c r="D411" s="7">
        <v>930</v>
      </c>
      <c r="E411" s="7">
        <v>46133</v>
      </c>
      <c r="F411" s="7">
        <v>46141</v>
      </c>
      <c r="G411" s="8" t="s">
        <v>323</v>
      </c>
      <c r="H411" s="2">
        <v>12.25</v>
      </c>
      <c r="I411" s="9">
        <v>3128</v>
      </c>
      <c r="J411" s="5" t="s">
        <v>69</v>
      </c>
      <c r="K411" s="10">
        <v>4390</v>
      </c>
    </row>
    <row r="412" spans="1:11" x14ac:dyDescent="0.35">
      <c r="A412" s="88" t="s">
        <v>67</v>
      </c>
      <c r="B412" s="7">
        <v>2026</v>
      </c>
      <c r="C412" s="7" t="s">
        <v>75</v>
      </c>
      <c r="D412" s="7">
        <v>38</v>
      </c>
      <c r="E412" s="7">
        <v>46134</v>
      </c>
      <c r="F412" s="7">
        <v>46146</v>
      </c>
      <c r="G412" s="8" t="s">
        <v>323</v>
      </c>
      <c r="H412" s="6">
        <v>12.25</v>
      </c>
      <c r="I412" s="9">
        <v>2363</v>
      </c>
      <c r="J412" s="5" t="s">
        <v>69</v>
      </c>
      <c r="K412" s="10">
        <v>4390</v>
      </c>
    </row>
    <row r="413" spans="1:11" x14ac:dyDescent="0.35">
      <c r="A413" s="7" t="s">
        <v>67</v>
      </c>
      <c r="B413" s="7">
        <v>2026</v>
      </c>
      <c r="C413" s="7" t="s">
        <v>75</v>
      </c>
      <c r="D413" s="7">
        <v>932</v>
      </c>
      <c r="E413" s="7">
        <v>46134</v>
      </c>
      <c r="F413" s="7">
        <v>46140</v>
      </c>
      <c r="G413" s="8" t="s">
        <v>323</v>
      </c>
      <c r="H413" s="2">
        <v>12.25</v>
      </c>
      <c r="I413" s="9">
        <v>2244</v>
      </c>
      <c r="J413" s="5" t="s">
        <v>69</v>
      </c>
      <c r="K413" s="10">
        <v>4390</v>
      </c>
    </row>
    <row r="414" spans="1:11" x14ac:dyDescent="0.35">
      <c r="A414" s="88" t="s">
        <v>67</v>
      </c>
      <c r="B414" s="7">
        <v>2026</v>
      </c>
      <c r="C414" s="7" t="s">
        <v>75</v>
      </c>
      <c r="D414" s="7">
        <v>931</v>
      </c>
      <c r="E414" s="7">
        <v>46135</v>
      </c>
      <c r="F414" s="7">
        <v>46141</v>
      </c>
      <c r="G414" s="8" t="s">
        <v>70</v>
      </c>
      <c r="H414" s="6">
        <v>12.25</v>
      </c>
      <c r="I414" s="9">
        <v>3026</v>
      </c>
      <c r="J414" s="5" t="s">
        <v>69</v>
      </c>
      <c r="K414" s="10">
        <v>3690</v>
      </c>
    </row>
    <row r="415" spans="1:11" x14ac:dyDescent="0.35">
      <c r="A415" s="7" t="s">
        <v>67</v>
      </c>
      <c r="B415" s="7">
        <v>2026</v>
      </c>
      <c r="C415" s="7" t="s">
        <v>75</v>
      </c>
      <c r="D415" s="7">
        <v>64</v>
      </c>
      <c r="E415" s="7">
        <v>46138</v>
      </c>
      <c r="F415" s="7">
        <v>46163</v>
      </c>
      <c r="G415" s="8" t="s">
        <v>323</v>
      </c>
      <c r="H415" s="2">
        <v>12.25</v>
      </c>
      <c r="I415" s="9">
        <v>4590</v>
      </c>
      <c r="J415" s="5" t="s">
        <v>69</v>
      </c>
      <c r="K415" s="10">
        <v>4390</v>
      </c>
    </row>
    <row r="416" spans="1:11" x14ac:dyDescent="0.35">
      <c r="A416" s="88" t="s">
        <v>67</v>
      </c>
      <c r="B416" s="7">
        <v>2026</v>
      </c>
      <c r="C416" s="7" t="s">
        <v>75</v>
      </c>
      <c r="D416" s="7">
        <v>66</v>
      </c>
      <c r="E416" s="7">
        <v>46140</v>
      </c>
      <c r="F416" s="7">
        <v>46160</v>
      </c>
      <c r="G416" s="8" t="s">
        <v>323</v>
      </c>
      <c r="H416" s="6">
        <v>12.25</v>
      </c>
      <c r="I416" s="9">
        <v>1972</v>
      </c>
      <c r="J416" s="5" t="s">
        <v>69</v>
      </c>
      <c r="K416" s="10">
        <v>4390</v>
      </c>
    </row>
    <row r="417" spans="1:11" x14ac:dyDescent="0.35">
      <c r="A417" s="7" t="s">
        <v>67</v>
      </c>
      <c r="B417" s="7">
        <v>2026</v>
      </c>
      <c r="C417" s="7" t="s">
        <v>75</v>
      </c>
      <c r="D417" s="7">
        <v>60</v>
      </c>
      <c r="E417" s="7">
        <v>46140</v>
      </c>
      <c r="F417" s="7">
        <v>46149</v>
      </c>
      <c r="G417" s="8" t="s">
        <v>323</v>
      </c>
      <c r="H417" s="2">
        <v>12.25</v>
      </c>
      <c r="I417" s="9">
        <v>3128</v>
      </c>
      <c r="J417" s="5" t="s">
        <v>69</v>
      </c>
      <c r="K417" s="10">
        <v>4390</v>
      </c>
    </row>
    <row r="418" spans="1:11" x14ac:dyDescent="0.35">
      <c r="A418" s="88" t="s">
        <v>67</v>
      </c>
      <c r="B418" s="7">
        <v>2026</v>
      </c>
      <c r="C418" s="7" t="s">
        <v>75</v>
      </c>
      <c r="D418" s="7">
        <v>932</v>
      </c>
      <c r="E418" s="7">
        <v>46141</v>
      </c>
      <c r="F418" s="7">
        <v>46157</v>
      </c>
      <c r="G418" s="8" t="s">
        <v>71</v>
      </c>
      <c r="H418" s="6">
        <v>12.25</v>
      </c>
      <c r="I418" s="9">
        <v>4845</v>
      </c>
      <c r="J418" s="5" t="s">
        <v>69</v>
      </c>
      <c r="K418" s="10"/>
    </row>
    <row r="419" spans="1:11" x14ac:dyDescent="0.35">
      <c r="A419" s="7" t="s">
        <v>67</v>
      </c>
      <c r="B419" s="7">
        <v>2026</v>
      </c>
      <c r="C419" s="7" t="s">
        <v>75</v>
      </c>
      <c r="D419" s="7">
        <v>930</v>
      </c>
      <c r="E419" s="7">
        <v>46141</v>
      </c>
      <c r="F419" s="7">
        <v>46148</v>
      </c>
      <c r="G419" s="8" t="s">
        <v>70</v>
      </c>
      <c r="H419" s="2">
        <v>12.25</v>
      </c>
      <c r="I419" s="9">
        <v>3111</v>
      </c>
      <c r="J419" s="5" t="s">
        <v>69</v>
      </c>
      <c r="K419" s="10">
        <v>3690</v>
      </c>
    </row>
    <row r="420" spans="1:11" x14ac:dyDescent="0.35">
      <c r="A420" s="88" t="s">
        <v>67</v>
      </c>
      <c r="B420" s="7">
        <v>2026</v>
      </c>
      <c r="C420" s="7" t="s">
        <v>75</v>
      </c>
      <c r="D420" s="7">
        <v>931</v>
      </c>
      <c r="E420" s="7">
        <v>46141</v>
      </c>
      <c r="F420" s="7">
        <v>46148</v>
      </c>
      <c r="G420" s="8" t="s">
        <v>323</v>
      </c>
      <c r="H420" s="6">
        <v>12.25</v>
      </c>
      <c r="I420" s="9">
        <v>2601</v>
      </c>
      <c r="J420" s="5" t="s">
        <v>69</v>
      </c>
      <c r="K420" s="10">
        <v>4390</v>
      </c>
    </row>
    <row r="421" spans="1:11" x14ac:dyDescent="0.35">
      <c r="A421" s="7" t="s">
        <v>67</v>
      </c>
      <c r="B421" s="7">
        <v>2026</v>
      </c>
      <c r="C421" s="7" t="s">
        <v>75</v>
      </c>
      <c r="D421" s="7">
        <v>69</v>
      </c>
      <c r="E421" s="7">
        <v>46142</v>
      </c>
      <c r="F421" s="7">
        <v>46150</v>
      </c>
      <c r="G421" s="8" t="s">
        <v>323</v>
      </c>
      <c r="H421" s="2">
        <v>12.25</v>
      </c>
      <c r="I421" s="9">
        <v>3383</v>
      </c>
      <c r="J421" s="5" t="s">
        <v>69</v>
      </c>
      <c r="K421" s="10">
        <v>4390</v>
      </c>
    </row>
    <row r="422" spans="1:11" x14ac:dyDescent="0.35">
      <c r="A422" s="88" t="s">
        <v>67</v>
      </c>
      <c r="B422" s="7">
        <v>2026</v>
      </c>
      <c r="C422" s="7" t="s">
        <v>76</v>
      </c>
      <c r="D422" s="7">
        <v>65</v>
      </c>
      <c r="E422" s="7">
        <v>46143</v>
      </c>
      <c r="F422" s="7">
        <v>46186</v>
      </c>
      <c r="G422" s="8" t="s">
        <v>323</v>
      </c>
      <c r="H422" s="6">
        <v>12.25</v>
      </c>
      <c r="I422" s="9">
        <v>4386</v>
      </c>
      <c r="J422" s="5" t="s">
        <v>69</v>
      </c>
      <c r="K422" s="10">
        <v>4390</v>
      </c>
    </row>
    <row r="423" spans="1:11" x14ac:dyDescent="0.35">
      <c r="A423" s="7" t="s">
        <v>67</v>
      </c>
      <c r="B423" s="7">
        <v>2026</v>
      </c>
      <c r="C423" s="7" t="s">
        <v>76</v>
      </c>
      <c r="D423" s="7">
        <v>38</v>
      </c>
      <c r="E423" s="7">
        <v>46146</v>
      </c>
      <c r="F423" s="7">
        <v>46174</v>
      </c>
      <c r="G423" s="8" t="s">
        <v>323</v>
      </c>
      <c r="H423" s="2">
        <v>12.25</v>
      </c>
      <c r="I423" s="9">
        <v>3332</v>
      </c>
      <c r="J423" s="5" t="s">
        <v>69</v>
      </c>
      <c r="K423" s="10">
        <v>4390</v>
      </c>
    </row>
    <row r="424" spans="1:11" x14ac:dyDescent="0.35">
      <c r="A424" s="88" t="s">
        <v>67</v>
      </c>
      <c r="B424" s="7">
        <v>2026</v>
      </c>
      <c r="C424" s="7" t="s">
        <v>76</v>
      </c>
      <c r="D424" s="7">
        <v>931</v>
      </c>
      <c r="E424" s="7">
        <v>46148</v>
      </c>
      <c r="F424" s="7">
        <v>46155</v>
      </c>
      <c r="G424" s="8" t="s">
        <v>70</v>
      </c>
      <c r="H424" s="6">
        <v>12.25</v>
      </c>
      <c r="I424" s="9">
        <v>2380</v>
      </c>
      <c r="J424" s="5" t="s">
        <v>69</v>
      </c>
      <c r="K424" s="10">
        <v>3690</v>
      </c>
    </row>
    <row r="425" spans="1:11" x14ac:dyDescent="0.35">
      <c r="A425" s="7" t="s">
        <v>67</v>
      </c>
      <c r="B425" s="7">
        <v>2026</v>
      </c>
      <c r="C425" s="7" t="s">
        <v>76</v>
      </c>
      <c r="D425" s="7">
        <v>930</v>
      </c>
      <c r="E425" s="7">
        <v>46148</v>
      </c>
      <c r="F425" s="7">
        <v>46155</v>
      </c>
      <c r="G425" s="8" t="s">
        <v>70</v>
      </c>
      <c r="H425" s="2">
        <v>12.25</v>
      </c>
      <c r="I425" s="9">
        <v>3519</v>
      </c>
      <c r="J425" s="5" t="s">
        <v>69</v>
      </c>
      <c r="K425" s="10">
        <v>3690</v>
      </c>
    </row>
    <row r="426" spans="1:11" x14ac:dyDescent="0.35">
      <c r="A426" s="88" t="s">
        <v>67</v>
      </c>
      <c r="B426" s="7">
        <v>2026</v>
      </c>
      <c r="C426" s="7" t="s">
        <v>76</v>
      </c>
      <c r="D426" s="7">
        <v>60</v>
      </c>
      <c r="E426" s="7">
        <v>46149</v>
      </c>
      <c r="F426" s="7">
        <v>46163</v>
      </c>
      <c r="G426" s="8" t="s">
        <v>323</v>
      </c>
      <c r="H426" s="6">
        <v>12.25</v>
      </c>
      <c r="I426" s="9">
        <v>3893</v>
      </c>
      <c r="J426" s="5" t="s">
        <v>69</v>
      </c>
      <c r="K426" s="10">
        <v>4390</v>
      </c>
    </row>
    <row r="427" spans="1:11" x14ac:dyDescent="0.35">
      <c r="A427" s="7" t="s">
        <v>67</v>
      </c>
      <c r="B427" s="7">
        <v>2026</v>
      </c>
      <c r="C427" s="7" t="s">
        <v>76</v>
      </c>
      <c r="D427" s="7">
        <v>69</v>
      </c>
      <c r="E427" s="7">
        <v>46150</v>
      </c>
      <c r="F427" s="7">
        <v>46166</v>
      </c>
      <c r="G427" s="8" t="s">
        <v>323</v>
      </c>
      <c r="H427" s="2">
        <v>12.25</v>
      </c>
      <c r="I427" s="9">
        <v>6358</v>
      </c>
      <c r="J427" s="5" t="s">
        <v>69</v>
      </c>
      <c r="K427" s="10">
        <v>4390</v>
      </c>
    </row>
    <row r="428" spans="1:11" x14ac:dyDescent="0.35">
      <c r="A428" s="88" t="s">
        <v>67</v>
      </c>
      <c r="B428" s="7">
        <v>2026</v>
      </c>
      <c r="C428" s="7" t="s">
        <v>76</v>
      </c>
      <c r="D428" s="7">
        <v>830</v>
      </c>
      <c r="E428" s="7">
        <v>46151</v>
      </c>
      <c r="F428" s="7">
        <v>46154</v>
      </c>
      <c r="G428" s="8" t="s">
        <v>323</v>
      </c>
      <c r="H428" s="6">
        <v>12.25</v>
      </c>
      <c r="I428" s="9">
        <v>969</v>
      </c>
      <c r="J428" s="5" t="s">
        <v>77</v>
      </c>
      <c r="K428" s="10">
        <v>4390</v>
      </c>
    </row>
    <row r="429" spans="1:11" x14ac:dyDescent="0.35">
      <c r="A429" s="7" t="s">
        <v>67</v>
      </c>
      <c r="B429" s="7">
        <v>2026</v>
      </c>
      <c r="C429" s="7" t="s">
        <v>76</v>
      </c>
      <c r="D429" s="7">
        <v>831</v>
      </c>
      <c r="E429" s="7">
        <v>46153</v>
      </c>
      <c r="F429" s="7">
        <v>46164</v>
      </c>
      <c r="G429" s="8" t="s">
        <v>70</v>
      </c>
      <c r="H429" s="2">
        <v>12.25</v>
      </c>
      <c r="I429" s="9">
        <v>6987</v>
      </c>
      <c r="J429" s="5" t="s">
        <v>69</v>
      </c>
      <c r="K429" s="10">
        <v>3690</v>
      </c>
    </row>
    <row r="430" spans="1:11" x14ac:dyDescent="0.35">
      <c r="A430" s="88" t="s">
        <v>67</v>
      </c>
      <c r="B430" s="7">
        <v>2026</v>
      </c>
      <c r="C430" s="7" t="s">
        <v>76</v>
      </c>
      <c r="D430" s="7">
        <v>830</v>
      </c>
      <c r="E430" s="7">
        <v>46154</v>
      </c>
      <c r="F430" s="7">
        <v>46167</v>
      </c>
      <c r="G430" s="8" t="s">
        <v>323</v>
      </c>
      <c r="H430" s="6">
        <v>12.25</v>
      </c>
      <c r="I430" s="9">
        <v>3842</v>
      </c>
      <c r="J430" s="5" t="s">
        <v>69</v>
      </c>
      <c r="K430" s="10">
        <v>4390</v>
      </c>
    </row>
    <row r="431" spans="1:11" x14ac:dyDescent="0.35">
      <c r="A431" s="7" t="s">
        <v>67</v>
      </c>
      <c r="B431" s="7">
        <v>2026</v>
      </c>
      <c r="C431" s="7" t="s">
        <v>76</v>
      </c>
      <c r="D431" s="7">
        <v>931</v>
      </c>
      <c r="E431" s="7">
        <v>46155</v>
      </c>
      <c r="F431" s="7">
        <v>46158</v>
      </c>
      <c r="G431" s="8" t="s">
        <v>70</v>
      </c>
      <c r="H431" s="2">
        <v>12.25</v>
      </c>
      <c r="I431" s="9">
        <v>1700</v>
      </c>
      <c r="J431" s="5" t="s">
        <v>69</v>
      </c>
      <c r="K431" s="10">
        <v>3690</v>
      </c>
    </row>
    <row r="432" spans="1:11" x14ac:dyDescent="0.35">
      <c r="A432" s="88" t="s">
        <v>67</v>
      </c>
      <c r="B432" s="7">
        <v>2026</v>
      </c>
      <c r="C432" s="7" t="s">
        <v>76</v>
      </c>
      <c r="D432" s="7">
        <v>930</v>
      </c>
      <c r="E432" s="7">
        <v>46155</v>
      </c>
      <c r="F432" s="7">
        <v>46161</v>
      </c>
      <c r="G432" s="8" t="s">
        <v>70</v>
      </c>
      <c r="H432" s="6">
        <v>12.25</v>
      </c>
      <c r="I432" s="9">
        <v>2176</v>
      </c>
      <c r="J432" s="5" t="s">
        <v>69</v>
      </c>
      <c r="K432" s="10">
        <v>3690</v>
      </c>
    </row>
    <row r="433" spans="1:11" x14ac:dyDescent="0.35">
      <c r="A433" s="7" t="s">
        <v>67</v>
      </c>
      <c r="B433" s="7">
        <v>2026</v>
      </c>
      <c r="C433" s="7" t="s">
        <v>76</v>
      </c>
      <c r="D433" s="7">
        <v>932</v>
      </c>
      <c r="E433" s="7">
        <v>46157</v>
      </c>
      <c r="F433" s="7">
        <v>46165</v>
      </c>
      <c r="G433" s="8" t="s">
        <v>323</v>
      </c>
      <c r="H433" s="2">
        <v>12.25</v>
      </c>
      <c r="I433" s="9">
        <v>1717</v>
      </c>
      <c r="J433" s="5" t="s">
        <v>69</v>
      </c>
      <c r="K433" s="10">
        <v>4390</v>
      </c>
    </row>
    <row r="434" spans="1:11" x14ac:dyDescent="0.35">
      <c r="A434" s="88" t="s">
        <v>67</v>
      </c>
      <c r="B434" s="7">
        <v>2026</v>
      </c>
      <c r="C434" s="7" t="s">
        <v>76</v>
      </c>
      <c r="D434" s="7">
        <v>931</v>
      </c>
      <c r="E434" s="7">
        <v>46158</v>
      </c>
      <c r="F434" s="7">
        <v>46165</v>
      </c>
      <c r="G434" s="8" t="s">
        <v>70</v>
      </c>
      <c r="H434" s="6">
        <v>12.25</v>
      </c>
      <c r="I434" s="9">
        <v>3774</v>
      </c>
      <c r="J434" s="5" t="s">
        <v>69</v>
      </c>
      <c r="K434" s="10">
        <v>3690</v>
      </c>
    </row>
    <row r="435" spans="1:11" x14ac:dyDescent="0.35">
      <c r="A435" s="7" t="s">
        <v>67</v>
      </c>
      <c r="B435" s="7">
        <v>2026</v>
      </c>
      <c r="C435" s="7" t="s">
        <v>76</v>
      </c>
      <c r="D435" s="7">
        <v>66</v>
      </c>
      <c r="E435" s="7">
        <v>46160</v>
      </c>
      <c r="F435" s="7">
        <v>46169</v>
      </c>
      <c r="G435" s="8" t="s">
        <v>323</v>
      </c>
      <c r="H435" s="2">
        <v>12.25</v>
      </c>
      <c r="I435" s="9">
        <v>1394</v>
      </c>
      <c r="J435" s="5" t="s">
        <v>69</v>
      </c>
      <c r="K435" s="10">
        <v>4390</v>
      </c>
    </row>
    <row r="436" spans="1:11" x14ac:dyDescent="0.35">
      <c r="A436" s="88" t="s">
        <v>67</v>
      </c>
      <c r="B436" s="7">
        <v>2026</v>
      </c>
      <c r="C436" s="7" t="s">
        <v>76</v>
      </c>
      <c r="D436" s="7">
        <v>930</v>
      </c>
      <c r="E436" s="7">
        <v>46161</v>
      </c>
      <c r="F436" s="7">
        <v>46165</v>
      </c>
      <c r="G436" s="8" t="s">
        <v>70</v>
      </c>
      <c r="H436" s="6">
        <v>12.25</v>
      </c>
      <c r="I436" s="9">
        <v>1870</v>
      </c>
      <c r="J436" s="5" t="s">
        <v>69</v>
      </c>
      <c r="K436" s="10">
        <v>3690</v>
      </c>
    </row>
    <row r="437" spans="1:11" x14ac:dyDescent="0.35">
      <c r="A437" s="7" t="s">
        <v>67</v>
      </c>
      <c r="B437" s="7">
        <v>2026</v>
      </c>
      <c r="C437" s="7" t="s">
        <v>76</v>
      </c>
      <c r="D437" s="7">
        <v>60</v>
      </c>
      <c r="E437" s="7">
        <v>46163</v>
      </c>
      <c r="F437" s="7">
        <v>46171</v>
      </c>
      <c r="G437" s="8" t="s">
        <v>323</v>
      </c>
      <c r="H437" s="2">
        <v>12.25</v>
      </c>
      <c r="I437" s="9">
        <v>3264</v>
      </c>
      <c r="J437" s="5" t="s">
        <v>69</v>
      </c>
      <c r="K437" s="10">
        <v>4390</v>
      </c>
    </row>
    <row r="438" spans="1:11" x14ac:dyDescent="0.35">
      <c r="A438" s="88" t="s">
        <v>67</v>
      </c>
      <c r="B438" s="7">
        <v>2026</v>
      </c>
      <c r="C438" s="7" t="s">
        <v>76</v>
      </c>
      <c r="D438" s="7">
        <v>64</v>
      </c>
      <c r="E438" s="7">
        <v>46163</v>
      </c>
      <c r="F438" s="7">
        <v>46160</v>
      </c>
      <c r="G438" s="8" t="s">
        <v>323</v>
      </c>
      <c r="H438" s="6">
        <v>12.25</v>
      </c>
      <c r="I438" s="9">
        <v>8211</v>
      </c>
      <c r="J438" s="5" t="s">
        <v>69</v>
      </c>
      <c r="K438" s="10">
        <v>4390</v>
      </c>
    </row>
    <row r="439" spans="1:11" x14ac:dyDescent="0.35">
      <c r="A439" s="7" t="s">
        <v>67</v>
      </c>
      <c r="B439" s="7">
        <v>2026</v>
      </c>
      <c r="C439" s="7" t="s">
        <v>76</v>
      </c>
      <c r="D439" s="7">
        <v>932</v>
      </c>
      <c r="E439" s="7">
        <v>46165</v>
      </c>
      <c r="F439" s="7">
        <v>46171</v>
      </c>
      <c r="G439" s="8" t="s">
        <v>323</v>
      </c>
      <c r="H439" s="2">
        <v>12.25</v>
      </c>
      <c r="I439" s="9">
        <v>1717</v>
      </c>
      <c r="J439" s="5" t="s">
        <v>69</v>
      </c>
      <c r="K439" s="10">
        <v>4390</v>
      </c>
    </row>
    <row r="440" spans="1:11" x14ac:dyDescent="0.35">
      <c r="A440" s="88" t="s">
        <v>67</v>
      </c>
      <c r="B440" s="7">
        <v>2026</v>
      </c>
      <c r="C440" s="7" t="s">
        <v>76</v>
      </c>
      <c r="D440" s="7">
        <v>931</v>
      </c>
      <c r="E440" s="7">
        <v>46165</v>
      </c>
      <c r="F440" s="7">
        <v>46171</v>
      </c>
      <c r="G440" s="8" t="s">
        <v>70</v>
      </c>
      <c r="H440" s="6">
        <v>12.25</v>
      </c>
      <c r="I440" s="9">
        <v>2992</v>
      </c>
      <c r="J440" s="5" t="s">
        <v>69</v>
      </c>
      <c r="K440" s="10">
        <v>3690</v>
      </c>
    </row>
    <row r="441" spans="1:11" x14ac:dyDescent="0.35">
      <c r="A441" s="7" t="s">
        <v>67</v>
      </c>
      <c r="B441" s="7">
        <v>2026</v>
      </c>
      <c r="C441" s="7" t="s">
        <v>76</v>
      </c>
      <c r="D441" s="7">
        <v>930</v>
      </c>
      <c r="E441" s="7">
        <v>46165</v>
      </c>
      <c r="F441" s="7">
        <v>46176</v>
      </c>
      <c r="G441" s="8" t="s">
        <v>70</v>
      </c>
      <c r="H441" s="2">
        <v>12.25</v>
      </c>
      <c r="I441" s="9">
        <v>2805</v>
      </c>
      <c r="J441" s="5" t="s">
        <v>69</v>
      </c>
      <c r="K441" s="10">
        <v>3690</v>
      </c>
    </row>
    <row r="442" spans="1:11" x14ac:dyDescent="0.35">
      <c r="A442" s="88" t="s">
        <v>67</v>
      </c>
      <c r="B442" s="7">
        <v>2026</v>
      </c>
      <c r="C442" s="7" t="s">
        <v>76</v>
      </c>
      <c r="D442" s="7">
        <v>69</v>
      </c>
      <c r="E442" s="7">
        <v>46166</v>
      </c>
      <c r="F442" s="7">
        <v>46171</v>
      </c>
      <c r="G442" s="8" t="s">
        <v>323</v>
      </c>
      <c r="H442" s="6">
        <v>12.25</v>
      </c>
      <c r="I442" s="9">
        <v>1955</v>
      </c>
      <c r="J442" s="5" t="s">
        <v>69</v>
      </c>
      <c r="K442" s="10">
        <v>4390</v>
      </c>
    </row>
    <row r="443" spans="1:11" x14ac:dyDescent="0.35">
      <c r="A443" s="7" t="s">
        <v>67</v>
      </c>
      <c r="B443" s="7">
        <v>2026</v>
      </c>
      <c r="C443" s="7" t="s">
        <v>76</v>
      </c>
      <c r="D443" s="7">
        <v>67</v>
      </c>
      <c r="E443" s="7">
        <v>46166</v>
      </c>
      <c r="F443" s="7">
        <v>46176</v>
      </c>
      <c r="G443" s="8" t="s">
        <v>323</v>
      </c>
      <c r="H443" s="2">
        <v>12.25</v>
      </c>
      <c r="I443" s="9">
        <v>3298</v>
      </c>
      <c r="J443" s="5" t="s">
        <v>69</v>
      </c>
      <c r="K443" s="10">
        <v>4390</v>
      </c>
    </row>
    <row r="444" spans="1:11" x14ac:dyDescent="0.35">
      <c r="A444" s="88" t="s">
        <v>67</v>
      </c>
      <c r="B444" s="7">
        <v>2026</v>
      </c>
      <c r="C444" s="7" t="s">
        <v>76</v>
      </c>
      <c r="D444" s="7">
        <v>830</v>
      </c>
      <c r="E444" s="7">
        <v>46167</v>
      </c>
      <c r="F444" s="7">
        <v>46172</v>
      </c>
      <c r="G444" s="8" t="s">
        <v>323</v>
      </c>
      <c r="H444" s="6">
        <v>12.25</v>
      </c>
      <c r="I444" s="9">
        <v>1190</v>
      </c>
      <c r="J444" s="5" t="s">
        <v>69</v>
      </c>
      <c r="K444" s="10">
        <v>4390</v>
      </c>
    </row>
    <row r="445" spans="1:11" x14ac:dyDescent="0.35">
      <c r="A445" s="7" t="s">
        <v>67</v>
      </c>
      <c r="B445" s="7">
        <v>2026</v>
      </c>
      <c r="C445" s="7" t="s">
        <v>76</v>
      </c>
      <c r="D445" s="7">
        <v>66</v>
      </c>
      <c r="E445" s="7">
        <v>46169</v>
      </c>
      <c r="F445" s="7">
        <v>46180</v>
      </c>
      <c r="G445" s="8" t="s">
        <v>323</v>
      </c>
      <c r="H445" s="2">
        <v>12.25</v>
      </c>
      <c r="I445" s="9">
        <v>1717</v>
      </c>
      <c r="J445" s="5" t="s">
        <v>69</v>
      </c>
      <c r="K445" s="10">
        <v>4390</v>
      </c>
    </row>
    <row r="446" spans="1:11" x14ac:dyDescent="0.35">
      <c r="A446" s="88" t="s">
        <v>67</v>
      </c>
      <c r="B446" s="7">
        <v>2026</v>
      </c>
      <c r="C446" s="7" t="s">
        <v>76</v>
      </c>
      <c r="D446" s="7">
        <v>932</v>
      </c>
      <c r="E446" s="7">
        <v>46171</v>
      </c>
      <c r="F446" s="7">
        <v>46179</v>
      </c>
      <c r="G446" s="8" t="s">
        <v>323</v>
      </c>
      <c r="H446" s="6">
        <v>12.25</v>
      </c>
      <c r="I446" s="9">
        <v>2193</v>
      </c>
      <c r="J446" s="5" t="s">
        <v>69</v>
      </c>
      <c r="K446" s="10">
        <v>4390</v>
      </c>
    </row>
    <row r="447" spans="1:11" x14ac:dyDescent="0.35">
      <c r="A447" s="7" t="s">
        <v>67</v>
      </c>
      <c r="B447" s="7">
        <v>2026</v>
      </c>
      <c r="C447" s="7" t="s">
        <v>76</v>
      </c>
      <c r="D447" s="7">
        <v>60</v>
      </c>
      <c r="E447" s="7">
        <v>46171</v>
      </c>
      <c r="F447" s="7">
        <v>46180</v>
      </c>
      <c r="G447" s="8" t="s">
        <v>323</v>
      </c>
      <c r="H447" s="2">
        <v>12.25</v>
      </c>
      <c r="I447" s="9">
        <v>3315</v>
      </c>
      <c r="J447" s="5" t="s">
        <v>69</v>
      </c>
      <c r="K447" s="10">
        <v>4390</v>
      </c>
    </row>
    <row r="448" spans="1:11" x14ac:dyDescent="0.35">
      <c r="A448" s="88" t="s">
        <v>67</v>
      </c>
      <c r="B448" s="7">
        <v>2026</v>
      </c>
      <c r="C448" s="7" t="s">
        <v>76</v>
      </c>
      <c r="D448" s="7">
        <v>931</v>
      </c>
      <c r="E448" s="7">
        <v>46171</v>
      </c>
      <c r="F448" s="7">
        <v>46193</v>
      </c>
      <c r="G448" s="8" t="s">
        <v>323</v>
      </c>
      <c r="H448" s="6">
        <v>12.25</v>
      </c>
      <c r="I448" s="9">
        <v>3774</v>
      </c>
      <c r="J448" s="5" t="s">
        <v>69</v>
      </c>
      <c r="K448" s="10">
        <v>4390</v>
      </c>
    </row>
    <row r="449" spans="1:11" x14ac:dyDescent="0.35">
      <c r="A449" s="7" t="s">
        <v>67</v>
      </c>
      <c r="B449" s="7">
        <v>2026</v>
      </c>
      <c r="C449" s="7" t="s">
        <v>76</v>
      </c>
      <c r="D449" s="7">
        <v>69</v>
      </c>
      <c r="E449" s="7">
        <v>46171</v>
      </c>
      <c r="F449" s="7">
        <v>46178</v>
      </c>
      <c r="G449" s="8" t="s">
        <v>323</v>
      </c>
      <c r="H449" s="2">
        <v>12.25</v>
      </c>
      <c r="I449" s="9">
        <v>2669</v>
      </c>
      <c r="J449" s="5" t="s">
        <v>69</v>
      </c>
      <c r="K449" s="10">
        <v>4390</v>
      </c>
    </row>
    <row r="450" spans="1:11" x14ac:dyDescent="0.35">
      <c r="A450" s="88" t="s">
        <v>67</v>
      </c>
      <c r="B450" s="7">
        <v>2026</v>
      </c>
      <c r="C450" s="7" t="s">
        <v>76</v>
      </c>
      <c r="D450" s="7">
        <v>830</v>
      </c>
      <c r="E450" s="7">
        <v>46172</v>
      </c>
      <c r="F450" s="7">
        <v>46178</v>
      </c>
      <c r="G450" s="8" t="s">
        <v>323</v>
      </c>
      <c r="H450" s="6">
        <v>12.25</v>
      </c>
      <c r="I450" s="9">
        <v>3434</v>
      </c>
      <c r="J450" s="5" t="s">
        <v>69</v>
      </c>
      <c r="K450" s="10">
        <v>4390</v>
      </c>
    </row>
    <row r="451" spans="1:11" x14ac:dyDescent="0.35">
      <c r="A451" s="7" t="s">
        <v>67</v>
      </c>
      <c r="B451" s="7">
        <v>2026</v>
      </c>
      <c r="C451" s="7" t="s">
        <v>78</v>
      </c>
      <c r="D451" s="7">
        <v>38</v>
      </c>
      <c r="E451" s="7">
        <v>46174</v>
      </c>
      <c r="F451" s="7">
        <v>46198</v>
      </c>
      <c r="G451" s="8" t="s">
        <v>323</v>
      </c>
      <c r="H451" s="2">
        <v>12.25</v>
      </c>
      <c r="I451" s="9">
        <v>3638</v>
      </c>
      <c r="J451" s="5" t="s">
        <v>69</v>
      </c>
      <c r="K451" s="10">
        <v>4390</v>
      </c>
    </row>
    <row r="452" spans="1:11" x14ac:dyDescent="0.35">
      <c r="A452" s="88" t="s">
        <v>67</v>
      </c>
      <c r="B452" s="7">
        <v>2026</v>
      </c>
      <c r="C452" s="7" t="s">
        <v>78</v>
      </c>
      <c r="D452" s="7">
        <v>930</v>
      </c>
      <c r="E452" s="7">
        <v>46176</v>
      </c>
      <c r="F452" s="7">
        <v>46183</v>
      </c>
      <c r="G452" s="8" t="s">
        <v>323</v>
      </c>
      <c r="H452" s="6">
        <v>12.25</v>
      </c>
      <c r="I452" s="9">
        <v>2346</v>
      </c>
      <c r="J452" s="5" t="s">
        <v>69</v>
      </c>
      <c r="K452" s="10">
        <v>4390</v>
      </c>
    </row>
    <row r="453" spans="1:11" x14ac:dyDescent="0.35">
      <c r="A453" s="7" t="s">
        <v>67</v>
      </c>
      <c r="B453" s="7">
        <v>2026</v>
      </c>
      <c r="C453" s="7" t="s">
        <v>78</v>
      </c>
      <c r="D453" s="7">
        <v>67</v>
      </c>
      <c r="E453" s="7">
        <v>46176</v>
      </c>
      <c r="F453" s="7">
        <v>46195</v>
      </c>
      <c r="G453" s="8" t="s">
        <v>323</v>
      </c>
      <c r="H453" s="2">
        <v>12.25</v>
      </c>
      <c r="I453" s="9">
        <v>3791</v>
      </c>
      <c r="J453" s="5" t="s">
        <v>69</v>
      </c>
      <c r="K453" s="10">
        <v>4390</v>
      </c>
    </row>
    <row r="454" spans="1:11" x14ac:dyDescent="0.35">
      <c r="A454" s="88" t="s">
        <v>67</v>
      </c>
      <c r="B454" s="7">
        <v>2026</v>
      </c>
      <c r="C454" s="7" t="s">
        <v>78</v>
      </c>
      <c r="D454" s="7">
        <v>830</v>
      </c>
      <c r="E454" s="7">
        <v>46178</v>
      </c>
      <c r="F454" s="7">
        <v>46188</v>
      </c>
      <c r="G454" s="8" t="s">
        <v>323</v>
      </c>
      <c r="H454" s="6">
        <v>12.25</v>
      </c>
      <c r="I454" s="9">
        <v>3009</v>
      </c>
      <c r="J454" s="5" t="s">
        <v>69</v>
      </c>
      <c r="K454" s="10">
        <v>4390</v>
      </c>
    </row>
    <row r="455" spans="1:11" x14ac:dyDescent="0.35">
      <c r="A455" s="7" t="s">
        <v>67</v>
      </c>
      <c r="B455" s="7">
        <v>2026</v>
      </c>
      <c r="C455" s="7" t="s">
        <v>78</v>
      </c>
      <c r="D455" s="7">
        <v>69</v>
      </c>
      <c r="E455" s="7">
        <v>46178</v>
      </c>
      <c r="F455" s="7">
        <v>46186</v>
      </c>
      <c r="G455" s="8" t="s">
        <v>323</v>
      </c>
      <c r="H455" s="2">
        <v>12.25</v>
      </c>
      <c r="I455" s="9">
        <v>2397</v>
      </c>
      <c r="J455" s="5" t="s">
        <v>69</v>
      </c>
      <c r="K455" s="10">
        <v>4390</v>
      </c>
    </row>
    <row r="456" spans="1:11" x14ac:dyDescent="0.35">
      <c r="A456" s="88" t="s">
        <v>67</v>
      </c>
      <c r="B456" s="7">
        <v>2026</v>
      </c>
      <c r="C456" s="7" t="s">
        <v>78</v>
      </c>
      <c r="D456" s="7">
        <v>932</v>
      </c>
      <c r="E456" s="7">
        <v>46179</v>
      </c>
      <c r="F456" s="7">
        <v>46188</v>
      </c>
      <c r="G456" s="8" t="s">
        <v>323</v>
      </c>
      <c r="H456" s="6">
        <v>12.25</v>
      </c>
      <c r="I456" s="9">
        <v>2363</v>
      </c>
      <c r="J456" s="5" t="s">
        <v>69</v>
      </c>
      <c r="K456" s="10">
        <v>4390</v>
      </c>
    </row>
    <row r="457" spans="1:11" x14ac:dyDescent="0.35">
      <c r="A457" s="7" t="s">
        <v>67</v>
      </c>
      <c r="B457" s="7">
        <v>2026</v>
      </c>
      <c r="C457" s="7" t="s">
        <v>78</v>
      </c>
      <c r="D457" s="7">
        <v>66</v>
      </c>
      <c r="E457" s="7">
        <v>46180</v>
      </c>
      <c r="F457" s="7">
        <v>46194</v>
      </c>
      <c r="G457" s="8" t="s">
        <v>323</v>
      </c>
      <c r="H457" s="2">
        <v>12.25</v>
      </c>
      <c r="I457" s="9">
        <v>3009</v>
      </c>
      <c r="J457" s="5" t="s">
        <v>69</v>
      </c>
      <c r="K457" s="10">
        <v>4390</v>
      </c>
    </row>
    <row r="458" spans="1:11" x14ac:dyDescent="0.35">
      <c r="A458" s="88" t="s">
        <v>67</v>
      </c>
      <c r="B458" s="7">
        <v>2026</v>
      </c>
      <c r="C458" s="7" t="s">
        <v>78</v>
      </c>
      <c r="D458" s="7">
        <v>60</v>
      </c>
      <c r="E458" s="7">
        <v>46180</v>
      </c>
      <c r="F458" s="7">
        <v>46186</v>
      </c>
      <c r="G458" s="8" t="s">
        <v>323</v>
      </c>
      <c r="H458" s="6">
        <v>12.25</v>
      </c>
      <c r="I458" s="9">
        <v>2278</v>
      </c>
      <c r="J458" s="5" t="s">
        <v>69</v>
      </c>
      <c r="K458" s="10">
        <v>4390</v>
      </c>
    </row>
    <row r="459" spans="1:11" x14ac:dyDescent="0.35">
      <c r="A459" s="7" t="s">
        <v>67</v>
      </c>
      <c r="B459" s="7">
        <v>2026</v>
      </c>
      <c r="C459" s="7" t="s">
        <v>78</v>
      </c>
      <c r="D459" s="7">
        <v>930</v>
      </c>
      <c r="E459" s="7">
        <v>46183</v>
      </c>
      <c r="F459" s="7">
        <v>46188</v>
      </c>
      <c r="G459" s="8" t="s">
        <v>323</v>
      </c>
      <c r="H459" s="2">
        <v>12.25</v>
      </c>
      <c r="I459" s="9">
        <v>2431</v>
      </c>
      <c r="J459" s="5" t="s">
        <v>69</v>
      </c>
      <c r="K459" s="10">
        <v>4390</v>
      </c>
    </row>
    <row r="460" spans="1:11" x14ac:dyDescent="0.35">
      <c r="A460" s="88" t="s">
        <v>67</v>
      </c>
      <c r="B460" s="7">
        <v>2026</v>
      </c>
      <c r="C460" s="7" t="s">
        <v>78</v>
      </c>
      <c r="D460" s="7">
        <v>65</v>
      </c>
      <c r="E460" s="7">
        <v>46186</v>
      </c>
      <c r="F460" s="7">
        <v>46201</v>
      </c>
      <c r="G460" s="8" t="s">
        <v>323</v>
      </c>
      <c r="H460" s="6">
        <v>12.25</v>
      </c>
      <c r="I460" s="9">
        <v>2278</v>
      </c>
      <c r="J460" s="5" t="s">
        <v>69</v>
      </c>
      <c r="K460" s="10">
        <v>4390</v>
      </c>
    </row>
    <row r="461" spans="1:11" x14ac:dyDescent="0.35">
      <c r="A461" s="7" t="s">
        <v>67</v>
      </c>
      <c r="B461" s="7">
        <v>2026</v>
      </c>
      <c r="C461" s="7" t="s">
        <v>78</v>
      </c>
      <c r="D461" s="7">
        <v>60</v>
      </c>
      <c r="E461" s="7">
        <v>46186</v>
      </c>
      <c r="F461" s="7">
        <v>46194</v>
      </c>
      <c r="G461" s="8" t="s">
        <v>70</v>
      </c>
      <c r="H461" s="2">
        <v>12.25</v>
      </c>
      <c r="I461" s="9">
        <v>2516</v>
      </c>
      <c r="J461" s="5" t="s">
        <v>69</v>
      </c>
      <c r="K461" s="10">
        <v>3690</v>
      </c>
    </row>
    <row r="462" spans="1:11" x14ac:dyDescent="0.35">
      <c r="A462" s="88" t="s">
        <v>67</v>
      </c>
      <c r="B462" s="7">
        <v>2026</v>
      </c>
      <c r="C462" s="7" t="s">
        <v>78</v>
      </c>
      <c r="D462" s="7">
        <v>69</v>
      </c>
      <c r="E462" s="7">
        <v>46186</v>
      </c>
      <c r="F462" s="7">
        <v>46194</v>
      </c>
      <c r="G462" s="8" t="s">
        <v>323</v>
      </c>
      <c r="H462" s="6">
        <v>12.25</v>
      </c>
      <c r="I462" s="9">
        <v>4369</v>
      </c>
      <c r="J462" s="5" t="s">
        <v>69</v>
      </c>
      <c r="K462" s="10">
        <v>4390</v>
      </c>
    </row>
    <row r="463" spans="1:11" x14ac:dyDescent="0.35">
      <c r="A463" s="7" t="s">
        <v>67</v>
      </c>
      <c r="B463" s="7">
        <v>2026</v>
      </c>
      <c r="C463" s="7" t="s">
        <v>78</v>
      </c>
      <c r="D463" s="7">
        <v>830</v>
      </c>
      <c r="E463" s="7">
        <v>46188</v>
      </c>
      <c r="F463" s="7">
        <v>46204</v>
      </c>
      <c r="G463" s="8" t="s">
        <v>323</v>
      </c>
      <c r="H463" s="2">
        <v>12.25</v>
      </c>
      <c r="I463" s="9">
        <v>2584</v>
      </c>
      <c r="J463" s="5" t="s">
        <v>69</v>
      </c>
      <c r="K463" s="10">
        <v>4390</v>
      </c>
    </row>
    <row r="464" spans="1:11" x14ac:dyDescent="0.35">
      <c r="A464" s="88" t="s">
        <v>67</v>
      </c>
      <c r="B464" s="7">
        <v>2026</v>
      </c>
      <c r="C464" s="7" t="s">
        <v>78</v>
      </c>
      <c r="D464" s="7">
        <v>932</v>
      </c>
      <c r="E464" s="7">
        <v>46188</v>
      </c>
      <c r="F464" s="7">
        <v>46195</v>
      </c>
      <c r="G464" s="8" t="s">
        <v>323</v>
      </c>
      <c r="H464" s="6">
        <v>12.25</v>
      </c>
      <c r="I464" s="9">
        <v>2244</v>
      </c>
      <c r="J464" s="5" t="s">
        <v>69</v>
      </c>
      <c r="K464" s="10">
        <v>4390</v>
      </c>
    </row>
    <row r="465" spans="1:11" x14ac:dyDescent="0.35">
      <c r="A465" s="7" t="s">
        <v>67</v>
      </c>
      <c r="B465" s="7">
        <v>2026</v>
      </c>
      <c r="C465" s="7" t="s">
        <v>78</v>
      </c>
      <c r="D465" s="7">
        <v>930</v>
      </c>
      <c r="E465" s="7">
        <v>46188</v>
      </c>
      <c r="F465" s="7">
        <v>46197</v>
      </c>
      <c r="G465" s="8" t="s">
        <v>323</v>
      </c>
      <c r="H465" s="2">
        <v>12.25</v>
      </c>
      <c r="I465" s="9">
        <v>3570</v>
      </c>
      <c r="J465" s="5" t="s">
        <v>69</v>
      </c>
      <c r="K465" s="10">
        <v>4390</v>
      </c>
    </row>
    <row r="466" spans="1:11" x14ac:dyDescent="0.35">
      <c r="A466" s="88" t="s">
        <v>67</v>
      </c>
      <c r="B466" s="7">
        <v>2026</v>
      </c>
      <c r="C466" s="7" t="s">
        <v>78</v>
      </c>
      <c r="D466" s="7">
        <v>64</v>
      </c>
      <c r="E466" s="7">
        <v>46192</v>
      </c>
      <c r="F466" s="7">
        <v>46229</v>
      </c>
      <c r="G466" s="8" t="s">
        <v>323</v>
      </c>
      <c r="H466" s="6">
        <v>12.25</v>
      </c>
      <c r="I466" s="9">
        <v>13192</v>
      </c>
      <c r="J466" s="5" t="s">
        <v>69</v>
      </c>
      <c r="K466" s="10">
        <v>4390</v>
      </c>
    </row>
    <row r="467" spans="1:11" x14ac:dyDescent="0.35">
      <c r="A467" s="7" t="s">
        <v>67</v>
      </c>
      <c r="B467" s="7">
        <v>2026</v>
      </c>
      <c r="C467" s="7" t="s">
        <v>78</v>
      </c>
      <c r="D467" s="7">
        <v>931</v>
      </c>
      <c r="E467" s="7">
        <v>46193</v>
      </c>
      <c r="F467" s="7">
        <v>46211</v>
      </c>
      <c r="G467" s="8" t="s">
        <v>70</v>
      </c>
      <c r="H467" s="2">
        <v>12.25</v>
      </c>
      <c r="I467" s="9">
        <v>3230</v>
      </c>
      <c r="J467" s="5" t="s">
        <v>69</v>
      </c>
      <c r="K467" s="10">
        <v>3690</v>
      </c>
    </row>
    <row r="468" spans="1:11" x14ac:dyDescent="0.35">
      <c r="A468" s="88" t="s">
        <v>67</v>
      </c>
      <c r="B468" s="7">
        <v>2026</v>
      </c>
      <c r="C468" s="7" t="s">
        <v>78</v>
      </c>
      <c r="D468" s="7">
        <v>60</v>
      </c>
      <c r="E468" s="7">
        <v>46194</v>
      </c>
      <c r="F468" s="7">
        <v>46200</v>
      </c>
      <c r="G468" s="8" t="s">
        <v>70</v>
      </c>
      <c r="H468" s="6">
        <v>12.25</v>
      </c>
      <c r="I468" s="9">
        <v>2482</v>
      </c>
      <c r="J468" s="5" t="s">
        <v>69</v>
      </c>
      <c r="K468" s="10">
        <v>3690</v>
      </c>
    </row>
    <row r="469" spans="1:11" x14ac:dyDescent="0.35">
      <c r="A469" s="7" t="s">
        <v>67</v>
      </c>
      <c r="B469" s="7">
        <v>2026</v>
      </c>
      <c r="C469" s="7" t="s">
        <v>78</v>
      </c>
      <c r="D469" s="7">
        <v>66</v>
      </c>
      <c r="E469" s="7">
        <v>46194</v>
      </c>
      <c r="F469" s="7">
        <v>46205</v>
      </c>
      <c r="G469" s="8" t="s">
        <v>323</v>
      </c>
      <c r="H469" s="2">
        <v>12.25</v>
      </c>
      <c r="I469" s="9">
        <v>1853</v>
      </c>
      <c r="J469" s="5" t="s">
        <v>69</v>
      </c>
      <c r="K469" s="10">
        <v>4390</v>
      </c>
    </row>
    <row r="470" spans="1:11" x14ac:dyDescent="0.35">
      <c r="A470" s="88" t="s">
        <v>67</v>
      </c>
      <c r="B470" s="7">
        <v>2026</v>
      </c>
      <c r="C470" s="7" t="s">
        <v>78</v>
      </c>
      <c r="D470" s="7">
        <v>69</v>
      </c>
      <c r="E470" s="7">
        <v>46194</v>
      </c>
      <c r="F470" s="7">
        <v>46202</v>
      </c>
      <c r="G470" s="8" t="s">
        <v>323</v>
      </c>
      <c r="H470" s="6">
        <v>12.25</v>
      </c>
      <c r="I470" s="9">
        <v>4386</v>
      </c>
      <c r="J470" s="5" t="s">
        <v>69</v>
      </c>
      <c r="K470" s="10">
        <v>4390</v>
      </c>
    </row>
    <row r="471" spans="1:11" x14ac:dyDescent="0.35">
      <c r="A471" s="7" t="s">
        <v>67</v>
      </c>
      <c r="B471" s="7">
        <v>2026</v>
      </c>
      <c r="C471" s="7" t="s">
        <v>78</v>
      </c>
      <c r="D471" s="7">
        <v>67</v>
      </c>
      <c r="E471" s="7">
        <v>46195</v>
      </c>
      <c r="F471" s="7">
        <v>46181</v>
      </c>
      <c r="G471" s="8" t="s">
        <v>323</v>
      </c>
      <c r="H471" s="2">
        <v>12.25</v>
      </c>
      <c r="I471" s="9">
        <v>3655</v>
      </c>
      <c r="J471" s="5" t="s">
        <v>69</v>
      </c>
      <c r="K471" s="10">
        <v>4390</v>
      </c>
    </row>
    <row r="472" spans="1:11" x14ac:dyDescent="0.35">
      <c r="A472" s="88" t="s">
        <v>67</v>
      </c>
      <c r="B472" s="7">
        <v>2026</v>
      </c>
      <c r="C472" s="7" t="s">
        <v>78</v>
      </c>
      <c r="D472" s="7">
        <v>932</v>
      </c>
      <c r="E472" s="7">
        <v>46195</v>
      </c>
      <c r="F472" s="7">
        <v>46202</v>
      </c>
      <c r="G472" s="8" t="s">
        <v>323</v>
      </c>
      <c r="H472" s="6">
        <v>12.25</v>
      </c>
      <c r="I472" s="9">
        <v>2584</v>
      </c>
      <c r="J472" s="5" t="s">
        <v>69</v>
      </c>
      <c r="K472" s="10">
        <v>4390</v>
      </c>
    </row>
    <row r="473" spans="1:11" x14ac:dyDescent="0.35">
      <c r="A473" s="7" t="s">
        <v>67</v>
      </c>
      <c r="B473" s="7">
        <v>2026</v>
      </c>
      <c r="C473" s="7" t="s">
        <v>78</v>
      </c>
      <c r="D473" s="7">
        <v>831</v>
      </c>
      <c r="E473" s="7">
        <v>46195</v>
      </c>
      <c r="F473" s="7">
        <v>46228</v>
      </c>
      <c r="G473" s="8" t="s">
        <v>323</v>
      </c>
      <c r="H473" s="2">
        <v>12.25</v>
      </c>
      <c r="I473" s="9">
        <v>11101</v>
      </c>
      <c r="J473" s="5" t="s">
        <v>69</v>
      </c>
      <c r="K473" s="10">
        <v>4390</v>
      </c>
    </row>
    <row r="474" spans="1:11" x14ac:dyDescent="0.35">
      <c r="A474" s="88" t="s">
        <v>67</v>
      </c>
      <c r="B474" s="7">
        <v>2026</v>
      </c>
      <c r="C474" s="7" t="s">
        <v>78</v>
      </c>
      <c r="D474" s="7">
        <v>930</v>
      </c>
      <c r="E474" s="7">
        <v>46197</v>
      </c>
      <c r="F474" s="7">
        <v>46206</v>
      </c>
      <c r="G474" s="8" t="s">
        <v>70</v>
      </c>
      <c r="H474" s="6">
        <v>12.25</v>
      </c>
      <c r="I474" s="9">
        <v>3910</v>
      </c>
      <c r="J474" s="5" t="s">
        <v>69</v>
      </c>
      <c r="K474" s="10">
        <v>3690</v>
      </c>
    </row>
    <row r="475" spans="1:11" x14ac:dyDescent="0.35">
      <c r="A475" s="7" t="s">
        <v>67</v>
      </c>
      <c r="B475" s="7">
        <v>2026</v>
      </c>
      <c r="C475" s="7" t="s">
        <v>78</v>
      </c>
      <c r="D475" s="7">
        <v>38</v>
      </c>
      <c r="E475" s="7">
        <v>46198</v>
      </c>
      <c r="F475" s="7">
        <v>46209</v>
      </c>
      <c r="G475" s="8" t="s">
        <v>323</v>
      </c>
      <c r="H475" s="2">
        <v>12.25</v>
      </c>
      <c r="I475" s="9">
        <v>2601</v>
      </c>
      <c r="J475" s="5" t="s">
        <v>69</v>
      </c>
      <c r="K475" s="10">
        <v>4390</v>
      </c>
    </row>
    <row r="476" spans="1:11" x14ac:dyDescent="0.35">
      <c r="A476" s="88" t="s">
        <v>67</v>
      </c>
      <c r="B476" s="7">
        <v>2026</v>
      </c>
      <c r="C476" s="7" t="s">
        <v>78</v>
      </c>
      <c r="D476" s="7">
        <v>60</v>
      </c>
      <c r="E476" s="7">
        <v>46200</v>
      </c>
      <c r="F476" s="7">
        <v>46208</v>
      </c>
      <c r="G476" s="8" t="s">
        <v>70</v>
      </c>
      <c r="H476" s="6">
        <v>12.25</v>
      </c>
      <c r="I476" s="9">
        <v>3587</v>
      </c>
      <c r="J476" s="5" t="s">
        <v>69</v>
      </c>
      <c r="K476" s="10">
        <v>3690</v>
      </c>
    </row>
    <row r="477" spans="1:11" x14ac:dyDescent="0.35">
      <c r="A477" s="7" t="s">
        <v>67</v>
      </c>
      <c r="B477" s="7">
        <v>2026</v>
      </c>
      <c r="C477" s="7" t="s">
        <v>78</v>
      </c>
      <c r="D477" s="7">
        <v>65</v>
      </c>
      <c r="E477" s="7">
        <v>46201</v>
      </c>
      <c r="F477" s="7">
        <v>46201</v>
      </c>
      <c r="G477" s="8" t="s">
        <v>323</v>
      </c>
      <c r="H477" s="2">
        <v>12.25</v>
      </c>
      <c r="I477" s="9">
        <v>4182</v>
      </c>
      <c r="J477" s="5" t="s">
        <v>69</v>
      </c>
      <c r="K477" s="10">
        <v>4390</v>
      </c>
    </row>
    <row r="478" spans="1:11" x14ac:dyDescent="0.35">
      <c r="A478" s="88" t="s">
        <v>67</v>
      </c>
      <c r="B478" s="7">
        <v>2026</v>
      </c>
      <c r="C478" s="7" t="s">
        <v>78</v>
      </c>
      <c r="D478" s="7">
        <v>69</v>
      </c>
      <c r="E478" s="7">
        <v>46202</v>
      </c>
      <c r="F478" s="7">
        <v>46214</v>
      </c>
      <c r="G478" s="8" t="s">
        <v>323</v>
      </c>
      <c r="H478" s="6">
        <v>12.25</v>
      </c>
      <c r="I478" s="9">
        <v>3366</v>
      </c>
      <c r="J478" s="5" t="s">
        <v>69</v>
      </c>
      <c r="K478" s="10">
        <v>4390</v>
      </c>
    </row>
    <row r="479" spans="1:11" x14ac:dyDescent="0.35">
      <c r="A479" s="7" t="s">
        <v>67</v>
      </c>
      <c r="B479" s="7">
        <v>2026</v>
      </c>
      <c r="C479" s="7" t="s">
        <v>78</v>
      </c>
      <c r="D479" s="7">
        <v>932</v>
      </c>
      <c r="E479" s="7">
        <v>46202</v>
      </c>
      <c r="F479" s="7">
        <v>46209</v>
      </c>
      <c r="G479" s="8" t="s">
        <v>323</v>
      </c>
      <c r="H479" s="2">
        <v>12.25</v>
      </c>
      <c r="I479" s="9">
        <v>2584</v>
      </c>
      <c r="J479" s="5" t="s">
        <v>69</v>
      </c>
      <c r="K479" s="10">
        <v>4390</v>
      </c>
    </row>
    <row r="480" spans="1:11" x14ac:dyDescent="0.35">
      <c r="A480" s="88" t="s">
        <v>67</v>
      </c>
      <c r="B480" s="7">
        <v>2026</v>
      </c>
      <c r="C480" s="7" t="s">
        <v>79</v>
      </c>
      <c r="D480" s="7">
        <v>830</v>
      </c>
      <c r="E480" s="7">
        <v>46204</v>
      </c>
      <c r="F480" s="7">
        <v>46217</v>
      </c>
      <c r="G480" s="8" t="s">
        <v>323</v>
      </c>
      <c r="H480" s="6">
        <v>12.25</v>
      </c>
      <c r="I480" s="9">
        <v>5865</v>
      </c>
      <c r="J480" s="5" t="s">
        <v>69</v>
      </c>
      <c r="K480" s="10">
        <v>4390</v>
      </c>
    </row>
    <row r="481" spans="1:11" x14ac:dyDescent="0.35">
      <c r="A481" s="7" t="s">
        <v>67</v>
      </c>
      <c r="B481" s="7">
        <v>2026</v>
      </c>
      <c r="C481" s="7" t="s">
        <v>79</v>
      </c>
      <c r="D481" s="7">
        <v>66</v>
      </c>
      <c r="E481" s="7">
        <v>46205</v>
      </c>
      <c r="F481" s="7">
        <v>46218</v>
      </c>
      <c r="G481" s="8" t="s">
        <v>323</v>
      </c>
      <c r="H481" s="2">
        <v>12.25</v>
      </c>
      <c r="I481" s="9">
        <v>2907</v>
      </c>
      <c r="J481" s="5" t="s">
        <v>69</v>
      </c>
      <c r="K481" s="10">
        <v>4390</v>
      </c>
    </row>
    <row r="482" spans="1:11" x14ac:dyDescent="0.35">
      <c r="A482" s="88" t="s">
        <v>67</v>
      </c>
      <c r="B482" s="7">
        <v>2026</v>
      </c>
      <c r="C482" s="7" t="s">
        <v>79</v>
      </c>
      <c r="D482" s="7">
        <v>930</v>
      </c>
      <c r="E482" s="7">
        <v>46206</v>
      </c>
      <c r="F482" s="7">
        <v>46215</v>
      </c>
      <c r="G482" s="8" t="s">
        <v>70</v>
      </c>
      <c r="H482" s="6">
        <v>12.25</v>
      </c>
      <c r="I482" s="9">
        <v>3196</v>
      </c>
      <c r="J482" s="5" t="s">
        <v>69</v>
      </c>
      <c r="K482" s="10">
        <v>3690</v>
      </c>
    </row>
    <row r="483" spans="1:11" x14ac:dyDescent="0.35">
      <c r="A483" s="7" t="s">
        <v>67</v>
      </c>
      <c r="B483" s="7">
        <v>2026</v>
      </c>
      <c r="C483" s="7" t="s">
        <v>79</v>
      </c>
      <c r="D483" s="7">
        <v>60</v>
      </c>
      <c r="E483" s="7">
        <v>46208</v>
      </c>
      <c r="F483" s="7">
        <v>46215</v>
      </c>
      <c r="G483" s="8" t="s">
        <v>70</v>
      </c>
      <c r="H483" s="2">
        <v>12.25</v>
      </c>
      <c r="I483" s="9">
        <v>1972</v>
      </c>
      <c r="J483" s="5" t="s">
        <v>69</v>
      </c>
      <c r="K483" s="10">
        <v>3690</v>
      </c>
    </row>
    <row r="484" spans="1:11" x14ac:dyDescent="0.35">
      <c r="A484" s="88" t="s">
        <v>67</v>
      </c>
      <c r="B484" s="7">
        <v>2026</v>
      </c>
      <c r="C484" s="7" t="s">
        <v>79</v>
      </c>
      <c r="D484" s="7">
        <v>932</v>
      </c>
      <c r="E484" s="7">
        <v>46209</v>
      </c>
      <c r="F484" s="7">
        <v>46216</v>
      </c>
      <c r="G484" s="8" t="s">
        <v>323</v>
      </c>
      <c r="H484" s="6">
        <v>12.25</v>
      </c>
      <c r="I484" s="9">
        <v>2431</v>
      </c>
      <c r="J484" s="5" t="s">
        <v>69</v>
      </c>
      <c r="K484" s="10">
        <v>4390</v>
      </c>
    </row>
    <row r="485" spans="1:11" x14ac:dyDescent="0.35">
      <c r="A485" s="7" t="s">
        <v>67</v>
      </c>
      <c r="B485" s="7">
        <v>2026</v>
      </c>
      <c r="C485" s="7" t="s">
        <v>79</v>
      </c>
      <c r="D485" s="7">
        <v>38</v>
      </c>
      <c r="E485" s="7">
        <v>46209</v>
      </c>
      <c r="F485" s="7"/>
      <c r="G485" s="8" t="s">
        <v>323</v>
      </c>
      <c r="H485" s="2">
        <v>12.25</v>
      </c>
      <c r="I485" s="9">
        <v>0</v>
      </c>
      <c r="J485" s="5" t="s">
        <v>69</v>
      </c>
      <c r="K485" s="10">
        <v>4390</v>
      </c>
    </row>
    <row r="486" spans="1:11" x14ac:dyDescent="0.35">
      <c r="A486" s="88" t="s">
        <v>67</v>
      </c>
      <c r="B486" s="7">
        <v>2026</v>
      </c>
      <c r="C486" s="7" t="s">
        <v>79</v>
      </c>
      <c r="D486" s="7">
        <v>67</v>
      </c>
      <c r="E486" s="7">
        <v>46211</v>
      </c>
      <c r="F486" s="7">
        <v>46218</v>
      </c>
      <c r="G486" s="8" t="s">
        <v>323</v>
      </c>
      <c r="H486" s="6">
        <v>12.25</v>
      </c>
      <c r="I486" s="9">
        <v>2482</v>
      </c>
      <c r="J486" s="5" t="s">
        <v>69</v>
      </c>
      <c r="K486" s="10">
        <v>4390</v>
      </c>
    </row>
    <row r="487" spans="1:11" x14ac:dyDescent="0.35">
      <c r="A487" s="7" t="s">
        <v>67</v>
      </c>
      <c r="B487" s="7">
        <v>2026</v>
      </c>
      <c r="C487" s="7" t="s">
        <v>79</v>
      </c>
      <c r="D487" s="7">
        <v>931</v>
      </c>
      <c r="E487" s="7">
        <v>46211</v>
      </c>
      <c r="F487" s="7">
        <v>46220</v>
      </c>
      <c r="G487" s="8" t="s">
        <v>323</v>
      </c>
      <c r="H487" s="2">
        <v>12.25</v>
      </c>
      <c r="I487" s="9">
        <v>2618</v>
      </c>
      <c r="J487" s="5" t="s">
        <v>69</v>
      </c>
      <c r="K487" s="10">
        <v>4390</v>
      </c>
    </row>
    <row r="488" spans="1:11" x14ac:dyDescent="0.35">
      <c r="A488" s="88" t="s">
        <v>67</v>
      </c>
      <c r="B488" s="7">
        <v>2026</v>
      </c>
      <c r="C488" s="7" t="s">
        <v>79</v>
      </c>
      <c r="D488" s="7">
        <v>69</v>
      </c>
      <c r="E488" s="7">
        <v>46214</v>
      </c>
      <c r="F488" s="7">
        <v>46217</v>
      </c>
      <c r="G488" s="8" t="s">
        <v>323</v>
      </c>
      <c r="H488" s="6">
        <v>12.25</v>
      </c>
      <c r="I488" s="9">
        <v>2363</v>
      </c>
      <c r="J488" s="5" t="s">
        <v>69</v>
      </c>
      <c r="K488" s="10">
        <v>4390</v>
      </c>
    </row>
    <row r="489" spans="1:11" x14ac:dyDescent="0.35">
      <c r="A489" s="7" t="s">
        <v>67</v>
      </c>
      <c r="B489" s="7">
        <v>2026</v>
      </c>
      <c r="C489" s="7" t="s">
        <v>79</v>
      </c>
      <c r="D489" s="7">
        <v>60</v>
      </c>
      <c r="E489" s="7">
        <v>46215</v>
      </c>
      <c r="F489" s="7">
        <v>46222</v>
      </c>
      <c r="G489" s="8" t="s">
        <v>323</v>
      </c>
      <c r="H489" s="2">
        <v>12.25</v>
      </c>
      <c r="I489" s="9">
        <v>3094</v>
      </c>
      <c r="J489" s="5" t="s">
        <v>69</v>
      </c>
      <c r="K489" s="10">
        <v>4390</v>
      </c>
    </row>
    <row r="490" spans="1:11" x14ac:dyDescent="0.35">
      <c r="A490" s="88" t="s">
        <v>67</v>
      </c>
      <c r="B490" s="7">
        <v>2026</v>
      </c>
      <c r="C490" s="7" t="s">
        <v>79</v>
      </c>
      <c r="D490" s="7">
        <v>930</v>
      </c>
      <c r="E490" s="7">
        <v>46215</v>
      </c>
      <c r="F490" s="7">
        <v>46222</v>
      </c>
      <c r="G490" s="8" t="s">
        <v>323</v>
      </c>
      <c r="H490" s="6">
        <v>12.25</v>
      </c>
      <c r="I490" s="9">
        <v>2924</v>
      </c>
      <c r="J490" s="5" t="s">
        <v>69</v>
      </c>
      <c r="K490" s="10">
        <v>4390</v>
      </c>
    </row>
    <row r="491" spans="1:11" x14ac:dyDescent="0.35">
      <c r="A491" s="7" t="s">
        <v>67</v>
      </c>
      <c r="B491" s="7">
        <v>2026</v>
      </c>
      <c r="C491" s="7" t="s">
        <v>79</v>
      </c>
      <c r="D491" s="7">
        <v>932</v>
      </c>
      <c r="E491" s="7">
        <v>46216</v>
      </c>
      <c r="F491" s="7">
        <v>46220</v>
      </c>
      <c r="G491" s="8" t="s">
        <v>323</v>
      </c>
      <c r="H491" s="2">
        <v>12.25</v>
      </c>
      <c r="I491" s="9">
        <v>1241</v>
      </c>
      <c r="J491" s="5" t="s">
        <v>69</v>
      </c>
      <c r="K491" s="10">
        <v>4390</v>
      </c>
    </row>
    <row r="492" spans="1:11" x14ac:dyDescent="0.35">
      <c r="A492" s="88" t="s">
        <v>67</v>
      </c>
      <c r="B492" s="7">
        <v>2026</v>
      </c>
      <c r="C492" s="7" t="s">
        <v>79</v>
      </c>
      <c r="D492" s="7">
        <v>830</v>
      </c>
      <c r="E492" s="7">
        <v>46217</v>
      </c>
      <c r="F492" s="7">
        <v>46227</v>
      </c>
      <c r="G492" s="8" t="s">
        <v>323</v>
      </c>
      <c r="H492" s="6">
        <v>12.25</v>
      </c>
      <c r="I492" s="9">
        <v>2550</v>
      </c>
      <c r="J492" s="5" t="s">
        <v>69</v>
      </c>
      <c r="K492" s="10">
        <v>4390</v>
      </c>
    </row>
    <row r="493" spans="1:11" x14ac:dyDescent="0.35">
      <c r="A493" s="7" t="s">
        <v>67</v>
      </c>
      <c r="B493" s="7">
        <v>2026</v>
      </c>
      <c r="C493" s="7" t="s">
        <v>79</v>
      </c>
      <c r="D493" s="7">
        <v>69</v>
      </c>
      <c r="E493" s="7">
        <v>46217</v>
      </c>
      <c r="F493" s="7">
        <v>46225</v>
      </c>
      <c r="G493" s="8" t="s">
        <v>323</v>
      </c>
      <c r="H493" s="2">
        <v>12.25</v>
      </c>
      <c r="I493" s="9">
        <v>3366</v>
      </c>
      <c r="J493" s="5" t="s">
        <v>69</v>
      </c>
      <c r="K493" s="10">
        <v>4390</v>
      </c>
    </row>
    <row r="494" spans="1:11" x14ac:dyDescent="0.35">
      <c r="A494" s="88" t="s">
        <v>67</v>
      </c>
      <c r="B494" s="7">
        <v>2026</v>
      </c>
      <c r="C494" s="7" t="s">
        <v>79</v>
      </c>
      <c r="D494" s="7">
        <v>67</v>
      </c>
      <c r="E494" s="7">
        <v>46218</v>
      </c>
      <c r="F494" s="7"/>
      <c r="G494" s="8" t="s">
        <v>323</v>
      </c>
      <c r="H494" s="6">
        <v>12.25</v>
      </c>
      <c r="I494" s="9">
        <v>0</v>
      </c>
      <c r="J494" s="5" t="s">
        <v>69</v>
      </c>
      <c r="K494" s="10">
        <v>4390</v>
      </c>
    </row>
    <row r="495" spans="1:11" x14ac:dyDescent="0.35">
      <c r="A495" s="7" t="s">
        <v>67</v>
      </c>
      <c r="B495" s="7">
        <v>2026</v>
      </c>
      <c r="C495" s="7" t="s">
        <v>79</v>
      </c>
      <c r="D495" s="7">
        <v>66</v>
      </c>
      <c r="E495" s="7">
        <v>46218</v>
      </c>
      <c r="F495" s="7"/>
      <c r="G495" s="8" t="s">
        <v>323</v>
      </c>
      <c r="H495" s="2">
        <v>12.25</v>
      </c>
      <c r="I495" s="9">
        <v>0</v>
      </c>
      <c r="J495" s="5" t="s">
        <v>69</v>
      </c>
      <c r="K495" s="10">
        <v>4390</v>
      </c>
    </row>
    <row r="496" spans="1:11" x14ac:dyDescent="0.35">
      <c r="A496" s="88" t="s">
        <v>67</v>
      </c>
      <c r="B496" s="7">
        <v>2026</v>
      </c>
      <c r="C496" s="7" t="s">
        <v>79</v>
      </c>
      <c r="D496" s="7">
        <v>932</v>
      </c>
      <c r="E496" s="7">
        <v>46220</v>
      </c>
      <c r="F496" s="7">
        <v>46228</v>
      </c>
      <c r="G496" s="8" t="s">
        <v>323</v>
      </c>
      <c r="H496" s="6">
        <v>12.25</v>
      </c>
      <c r="I496" s="9">
        <v>1870</v>
      </c>
      <c r="J496" s="5" t="s">
        <v>69</v>
      </c>
      <c r="K496" s="10">
        <v>4390</v>
      </c>
    </row>
    <row r="497" spans="1:11" x14ac:dyDescent="0.35">
      <c r="A497" s="7" t="s">
        <v>67</v>
      </c>
      <c r="B497" s="7">
        <v>2026</v>
      </c>
      <c r="C497" s="7" t="s">
        <v>79</v>
      </c>
      <c r="D497" s="7">
        <v>931</v>
      </c>
      <c r="E497" s="7">
        <v>46220</v>
      </c>
      <c r="F497" s="7">
        <v>46225</v>
      </c>
      <c r="G497" s="8" t="s">
        <v>323</v>
      </c>
      <c r="H497" s="2">
        <v>12.25</v>
      </c>
      <c r="I497" s="9">
        <v>2414</v>
      </c>
      <c r="J497" s="5" t="s">
        <v>69</v>
      </c>
      <c r="K497" s="10">
        <v>4390</v>
      </c>
    </row>
    <row r="498" spans="1:11" x14ac:dyDescent="0.35">
      <c r="A498" s="88" t="s">
        <v>67</v>
      </c>
      <c r="B498" s="7">
        <v>2026</v>
      </c>
      <c r="C498" s="7" t="s">
        <v>79</v>
      </c>
      <c r="D498" s="7">
        <v>60</v>
      </c>
      <c r="E498" s="7">
        <v>46222</v>
      </c>
      <c r="F498" s="7"/>
      <c r="G498" s="8" t="s">
        <v>323</v>
      </c>
      <c r="H498" s="6">
        <v>12.25</v>
      </c>
      <c r="I498" s="9"/>
      <c r="J498" s="5" t="s">
        <v>69</v>
      </c>
      <c r="K498" s="10">
        <v>4390</v>
      </c>
    </row>
    <row r="499" spans="1:11" x14ac:dyDescent="0.35">
      <c r="A499" s="7" t="s">
        <v>67</v>
      </c>
      <c r="B499" s="7">
        <v>2026</v>
      </c>
      <c r="C499" s="7" t="s">
        <v>79</v>
      </c>
      <c r="D499" s="7">
        <v>930</v>
      </c>
      <c r="E499" s="7">
        <v>46222</v>
      </c>
      <c r="F499" s="7"/>
      <c r="G499" s="8" t="s">
        <v>15</v>
      </c>
      <c r="H499" s="2">
        <v>12.25</v>
      </c>
      <c r="I499" s="9"/>
      <c r="J499" s="5" t="s">
        <v>69</v>
      </c>
      <c r="K499" s="10">
        <v>4390</v>
      </c>
    </row>
    <row r="500" spans="1:11" x14ac:dyDescent="0.35">
      <c r="A500" s="88" t="s">
        <v>67</v>
      </c>
      <c r="B500" s="7">
        <v>2026</v>
      </c>
      <c r="C500" s="7" t="s">
        <v>79</v>
      </c>
      <c r="D500" s="7">
        <v>830</v>
      </c>
      <c r="E500" s="7">
        <v>46204</v>
      </c>
      <c r="F500" s="7">
        <v>46217</v>
      </c>
      <c r="G500" s="8" t="s">
        <v>15</v>
      </c>
      <c r="H500" s="6">
        <v>12.25</v>
      </c>
      <c r="I500" s="9">
        <v>5865</v>
      </c>
      <c r="J500" s="5" t="s">
        <v>69</v>
      </c>
      <c r="K500" s="10">
        <v>4390</v>
      </c>
    </row>
    <row r="501" spans="1:11" x14ac:dyDescent="0.35">
      <c r="A501" s="7" t="s">
        <v>67</v>
      </c>
      <c r="B501" s="7">
        <v>2026</v>
      </c>
      <c r="C501" s="7" t="s">
        <v>79</v>
      </c>
      <c r="D501" s="7">
        <v>66</v>
      </c>
      <c r="E501" s="7">
        <v>46205</v>
      </c>
      <c r="F501" s="7">
        <v>46218</v>
      </c>
      <c r="G501" s="8" t="s">
        <v>15</v>
      </c>
      <c r="H501" s="2">
        <v>12.25</v>
      </c>
      <c r="I501" s="9">
        <v>2907</v>
      </c>
      <c r="J501" s="5" t="s">
        <v>69</v>
      </c>
      <c r="K501" s="10">
        <v>4390</v>
      </c>
    </row>
    <row r="502" spans="1:11" x14ac:dyDescent="0.35">
      <c r="A502" s="88" t="s">
        <v>67</v>
      </c>
      <c r="B502" s="7">
        <v>2026</v>
      </c>
      <c r="C502" s="7" t="s">
        <v>79</v>
      </c>
      <c r="D502" s="7">
        <v>930</v>
      </c>
      <c r="E502" s="7">
        <v>46206</v>
      </c>
      <c r="F502" s="7">
        <v>46215</v>
      </c>
      <c r="G502" s="8" t="s">
        <v>70</v>
      </c>
      <c r="H502" s="6">
        <v>12.25</v>
      </c>
      <c r="I502" s="9">
        <v>3196</v>
      </c>
      <c r="J502" s="5" t="s">
        <v>69</v>
      </c>
      <c r="K502" s="10">
        <v>3690</v>
      </c>
    </row>
    <row r="503" spans="1:11" x14ac:dyDescent="0.35">
      <c r="A503" s="7" t="s">
        <v>67</v>
      </c>
      <c r="B503" s="7">
        <v>2026</v>
      </c>
      <c r="C503" s="7" t="s">
        <v>79</v>
      </c>
      <c r="D503" s="7">
        <v>60</v>
      </c>
      <c r="E503" s="7">
        <v>46208</v>
      </c>
      <c r="F503" s="7">
        <v>46215</v>
      </c>
      <c r="G503" s="8" t="s">
        <v>70</v>
      </c>
      <c r="H503" s="2">
        <v>12.25</v>
      </c>
      <c r="I503" s="9">
        <v>1972</v>
      </c>
      <c r="J503" s="5" t="s">
        <v>69</v>
      </c>
      <c r="K503" s="10">
        <v>3690</v>
      </c>
    </row>
    <row r="504" spans="1:11" x14ac:dyDescent="0.35">
      <c r="A504" s="88" t="s">
        <v>67</v>
      </c>
      <c r="B504" s="7">
        <v>2026</v>
      </c>
      <c r="C504" s="7" t="s">
        <v>79</v>
      </c>
      <c r="D504" s="7">
        <v>932</v>
      </c>
      <c r="E504" s="7">
        <v>46209</v>
      </c>
      <c r="F504" s="7">
        <v>46216</v>
      </c>
      <c r="G504" s="8" t="s">
        <v>15</v>
      </c>
      <c r="H504" s="6">
        <v>12.25</v>
      </c>
      <c r="I504" s="9">
        <v>2431</v>
      </c>
      <c r="J504" s="5" t="s">
        <v>69</v>
      </c>
      <c r="K504" s="10">
        <v>4390</v>
      </c>
    </row>
    <row r="505" spans="1:11" x14ac:dyDescent="0.35">
      <c r="A505" s="7" t="s">
        <v>67</v>
      </c>
      <c r="B505" s="7">
        <v>2026</v>
      </c>
      <c r="C505" s="7" t="s">
        <v>79</v>
      </c>
      <c r="D505" s="7">
        <v>38</v>
      </c>
      <c r="E505" s="7">
        <v>46209</v>
      </c>
      <c r="F505" s="7"/>
      <c r="G505" s="8" t="s">
        <v>15</v>
      </c>
      <c r="H505" s="2">
        <v>12.25</v>
      </c>
      <c r="I505" s="9">
        <v>0</v>
      </c>
      <c r="J505" s="5" t="s">
        <v>69</v>
      </c>
      <c r="K505" s="10">
        <v>4390</v>
      </c>
    </row>
    <row r="506" spans="1:11" x14ac:dyDescent="0.35">
      <c r="A506" s="88" t="s">
        <v>67</v>
      </c>
      <c r="B506" s="7">
        <v>2026</v>
      </c>
      <c r="C506" s="7" t="s">
        <v>79</v>
      </c>
      <c r="D506" s="7">
        <v>67</v>
      </c>
      <c r="E506" s="7">
        <v>46211</v>
      </c>
      <c r="F506" s="7">
        <v>46218</v>
      </c>
      <c r="G506" s="8" t="s">
        <v>15</v>
      </c>
      <c r="H506" s="6">
        <v>12.25</v>
      </c>
      <c r="I506" s="9">
        <v>2482</v>
      </c>
      <c r="J506" s="5" t="s">
        <v>69</v>
      </c>
      <c r="K506" s="10">
        <v>4390</v>
      </c>
    </row>
    <row r="507" spans="1:11" x14ac:dyDescent="0.35">
      <c r="A507" s="7" t="s">
        <v>67</v>
      </c>
      <c r="B507" s="7">
        <v>2026</v>
      </c>
      <c r="C507" s="7" t="s">
        <v>79</v>
      </c>
      <c r="D507" s="7">
        <v>931</v>
      </c>
      <c r="E507" s="7">
        <v>46211</v>
      </c>
      <c r="F507" s="7">
        <v>46220</v>
      </c>
      <c r="G507" s="8" t="s">
        <v>15</v>
      </c>
      <c r="H507" s="2">
        <v>12.25</v>
      </c>
      <c r="I507" s="9">
        <v>2618</v>
      </c>
      <c r="J507" s="5" t="s">
        <v>69</v>
      </c>
      <c r="K507" s="10">
        <v>4390</v>
      </c>
    </row>
    <row r="508" spans="1:11" x14ac:dyDescent="0.35">
      <c r="A508" s="88" t="s">
        <v>67</v>
      </c>
      <c r="B508" s="7">
        <v>2026</v>
      </c>
      <c r="C508" s="7" t="s">
        <v>79</v>
      </c>
      <c r="D508" s="7">
        <v>69</v>
      </c>
      <c r="E508" s="7">
        <v>46214</v>
      </c>
      <c r="F508" s="7">
        <v>46217</v>
      </c>
      <c r="G508" s="8" t="s">
        <v>15</v>
      </c>
      <c r="H508" s="6">
        <v>12.25</v>
      </c>
      <c r="I508" s="9">
        <v>2363</v>
      </c>
      <c r="J508" s="5" t="s">
        <v>69</v>
      </c>
      <c r="K508" s="10">
        <v>4390</v>
      </c>
    </row>
    <row r="509" spans="1:11" x14ac:dyDescent="0.35">
      <c r="A509" s="7" t="s">
        <v>67</v>
      </c>
      <c r="B509" s="7">
        <v>2026</v>
      </c>
      <c r="C509" s="7" t="s">
        <v>79</v>
      </c>
      <c r="D509" s="7">
        <v>60</v>
      </c>
      <c r="E509" s="7">
        <v>46215</v>
      </c>
      <c r="F509" s="7">
        <v>46222</v>
      </c>
      <c r="G509" s="8" t="s">
        <v>15</v>
      </c>
      <c r="H509" s="2">
        <v>12.25</v>
      </c>
      <c r="I509" s="9">
        <v>3094</v>
      </c>
      <c r="J509" s="5" t="s">
        <v>69</v>
      </c>
      <c r="K509" s="10">
        <v>4390</v>
      </c>
    </row>
    <row r="510" spans="1:11" x14ac:dyDescent="0.35">
      <c r="A510" s="88" t="s">
        <v>67</v>
      </c>
      <c r="B510" s="7">
        <v>2026</v>
      </c>
      <c r="C510" s="7" t="s">
        <v>79</v>
      </c>
      <c r="D510" s="7">
        <v>930</v>
      </c>
      <c r="E510" s="7">
        <v>46215</v>
      </c>
      <c r="F510" s="7">
        <v>46222</v>
      </c>
      <c r="G510" s="8" t="s">
        <v>15</v>
      </c>
      <c r="H510" s="6">
        <v>12.25</v>
      </c>
      <c r="I510" s="9">
        <v>2924</v>
      </c>
      <c r="J510" s="5" t="s">
        <v>69</v>
      </c>
      <c r="K510" s="10">
        <v>4390</v>
      </c>
    </row>
    <row r="511" spans="1:11" x14ac:dyDescent="0.35">
      <c r="A511" s="7" t="s">
        <v>67</v>
      </c>
      <c r="B511" s="7">
        <v>2026</v>
      </c>
      <c r="C511" s="7" t="s">
        <v>79</v>
      </c>
      <c r="D511" s="7">
        <v>932</v>
      </c>
      <c r="E511" s="7">
        <v>46216</v>
      </c>
      <c r="F511" s="7">
        <v>46220</v>
      </c>
      <c r="G511" s="8" t="s">
        <v>15</v>
      </c>
      <c r="H511" s="2">
        <v>12.25</v>
      </c>
      <c r="I511" s="9">
        <v>1241</v>
      </c>
      <c r="J511" s="5" t="s">
        <v>69</v>
      </c>
      <c r="K511" s="10">
        <v>4390</v>
      </c>
    </row>
    <row r="512" spans="1:11" x14ac:dyDescent="0.35">
      <c r="A512" s="88" t="s">
        <v>67</v>
      </c>
      <c r="B512" s="7">
        <v>2026</v>
      </c>
      <c r="C512" s="7" t="s">
        <v>79</v>
      </c>
      <c r="D512" s="7">
        <v>830</v>
      </c>
      <c r="E512" s="7">
        <v>46217</v>
      </c>
      <c r="F512" s="7">
        <v>46227</v>
      </c>
      <c r="G512" s="8" t="s">
        <v>15</v>
      </c>
      <c r="H512" s="6">
        <v>12.25</v>
      </c>
      <c r="I512" s="9">
        <v>2550</v>
      </c>
      <c r="J512" s="5" t="s">
        <v>69</v>
      </c>
      <c r="K512" s="10">
        <v>4390</v>
      </c>
    </row>
    <row r="513" spans="1:11" x14ac:dyDescent="0.35">
      <c r="A513" s="7" t="s">
        <v>67</v>
      </c>
      <c r="B513" s="7">
        <v>2026</v>
      </c>
      <c r="C513" s="7" t="s">
        <v>79</v>
      </c>
      <c r="D513" s="7">
        <v>69</v>
      </c>
      <c r="E513" s="7">
        <v>46217</v>
      </c>
      <c r="F513" s="7">
        <v>46225</v>
      </c>
      <c r="G513" s="8" t="s">
        <v>15</v>
      </c>
      <c r="H513" s="2">
        <v>12.25</v>
      </c>
      <c r="I513" s="9">
        <v>3366</v>
      </c>
      <c r="J513" s="5" t="s">
        <v>69</v>
      </c>
      <c r="K513" s="10">
        <v>4390</v>
      </c>
    </row>
    <row r="514" spans="1:11" x14ac:dyDescent="0.35">
      <c r="A514" s="88" t="s">
        <v>67</v>
      </c>
      <c r="B514" s="7">
        <v>2026</v>
      </c>
      <c r="C514" s="7" t="s">
        <v>79</v>
      </c>
      <c r="D514" s="7">
        <v>67</v>
      </c>
      <c r="E514" s="7">
        <v>46218</v>
      </c>
      <c r="F514" s="7"/>
      <c r="G514" s="8" t="s">
        <v>15</v>
      </c>
      <c r="H514" s="6">
        <v>12.25</v>
      </c>
      <c r="I514" s="9">
        <v>0</v>
      </c>
      <c r="J514" s="5" t="s">
        <v>69</v>
      </c>
      <c r="K514" s="10">
        <v>4390</v>
      </c>
    </row>
    <row r="515" spans="1:11" x14ac:dyDescent="0.35">
      <c r="A515" s="7" t="s">
        <v>67</v>
      </c>
      <c r="B515" s="7">
        <v>2026</v>
      </c>
      <c r="C515" s="7" t="s">
        <v>79</v>
      </c>
      <c r="D515" s="7">
        <v>66</v>
      </c>
      <c r="E515" s="7">
        <v>46218</v>
      </c>
      <c r="F515" s="7"/>
      <c r="G515" s="8" t="s">
        <v>15</v>
      </c>
      <c r="H515" s="2">
        <v>12.25</v>
      </c>
      <c r="I515" s="9">
        <v>0</v>
      </c>
      <c r="J515" s="5" t="s">
        <v>69</v>
      </c>
      <c r="K515" s="10">
        <v>4390</v>
      </c>
    </row>
    <row r="516" spans="1:11" x14ac:dyDescent="0.35">
      <c r="A516" s="88" t="s">
        <v>67</v>
      </c>
      <c r="B516" s="7">
        <v>2026</v>
      </c>
      <c r="C516" s="7" t="s">
        <v>79</v>
      </c>
      <c r="D516" s="7">
        <v>932</v>
      </c>
      <c r="E516" s="7">
        <v>46220</v>
      </c>
      <c r="F516" s="7">
        <v>46228</v>
      </c>
      <c r="G516" s="8" t="s">
        <v>15</v>
      </c>
      <c r="H516" s="6">
        <v>12.25</v>
      </c>
      <c r="I516" s="9">
        <v>1870</v>
      </c>
      <c r="J516" s="5" t="s">
        <v>69</v>
      </c>
      <c r="K516" s="10">
        <v>4390</v>
      </c>
    </row>
    <row r="517" spans="1:11" x14ac:dyDescent="0.35">
      <c r="A517" s="7" t="s">
        <v>67</v>
      </c>
      <c r="B517" s="7">
        <v>2026</v>
      </c>
      <c r="C517" s="7" t="s">
        <v>79</v>
      </c>
      <c r="D517" s="7">
        <v>931</v>
      </c>
      <c r="E517" s="7">
        <v>46220</v>
      </c>
      <c r="F517" s="7">
        <v>46225</v>
      </c>
      <c r="G517" s="8" t="s">
        <v>15</v>
      </c>
      <c r="H517" s="2">
        <v>12.25</v>
      </c>
      <c r="I517" s="9">
        <v>2414</v>
      </c>
      <c r="J517" s="5" t="s">
        <v>69</v>
      </c>
      <c r="K517" s="10">
        <v>4390</v>
      </c>
    </row>
    <row r="518" spans="1:11" x14ac:dyDescent="0.35">
      <c r="A518" s="88" t="s">
        <v>67</v>
      </c>
      <c r="B518" s="7">
        <v>2026</v>
      </c>
      <c r="C518" s="7" t="s">
        <v>79</v>
      </c>
      <c r="D518" s="7">
        <v>60</v>
      </c>
      <c r="E518" s="7">
        <v>46222</v>
      </c>
      <c r="F518" s="7"/>
      <c r="G518" s="8" t="s">
        <v>15</v>
      </c>
      <c r="H518" s="6">
        <v>12.25</v>
      </c>
      <c r="I518" s="9"/>
      <c r="J518" s="5" t="s">
        <v>69</v>
      </c>
      <c r="K518" s="10">
        <v>4390</v>
      </c>
    </row>
    <row r="519" spans="1:11" x14ac:dyDescent="0.35">
      <c r="A519" s="7" t="s">
        <v>67</v>
      </c>
      <c r="B519" s="7">
        <v>2026</v>
      </c>
      <c r="C519" s="7" t="s">
        <v>79</v>
      </c>
      <c r="D519" s="7">
        <v>930</v>
      </c>
      <c r="E519" s="7">
        <v>46222</v>
      </c>
      <c r="F519" s="7"/>
      <c r="G519" s="8" t="s">
        <v>15</v>
      </c>
      <c r="H519" s="2">
        <v>12.25</v>
      </c>
      <c r="I519" s="9"/>
      <c r="J519" s="5" t="s">
        <v>69</v>
      </c>
      <c r="K519" s="10">
        <v>4390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ED29A-1A2F-4C94-BE0B-A02EF7576872}">
  <dimension ref="A1:S47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2" sqref="C12"/>
    </sheetView>
  </sheetViews>
  <sheetFormatPr defaultColWidth="8.54296875" defaultRowHeight="14.5" x14ac:dyDescent="0.35"/>
  <cols>
    <col min="1" max="1" width="11" style="19" customWidth="1"/>
    <col min="2" max="2" width="24" style="19" customWidth="1"/>
    <col min="3" max="9" width="12" style="19" customWidth="1"/>
    <col min="10" max="10" width="13" style="19" customWidth="1"/>
    <col min="11" max="11" width="8.54296875" style="100"/>
    <col min="12" max="12" width="8.54296875" style="19"/>
    <col min="13" max="19" width="13" style="19" hidden="1" customWidth="1"/>
    <col min="20" max="16384" width="8.54296875" style="19"/>
  </cols>
  <sheetData>
    <row r="1" spans="1:11" ht="24" customHeight="1" x14ac:dyDescent="0.4">
      <c r="A1" s="95" t="s">
        <v>80</v>
      </c>
      <c r="B1" s="95"/>
      <c r="C1" s="95"/>
      <c r="D1" s="95"/>
      <c r="E1" s="95"/>
      <c r="F1" s="95"/>
      <c r="G1" s="95"/>
      <c r="H1" s="95"/>
      <c r="I1" s="95"/>
      <c r="J1" s="95"/>
    </row>
    <row r="2" spans="1:11" x14ac:dyDescent="0.35">
      <c r="A2" s="96" t="s">
        <v>81</v>
      </c>
      <c r="B2" s="96"/>
      <c r="C2" s="96"/>
      <c r="D2" s="96"/>
      <c r="E2" s="96"/>
      <c r="F2" s="96"/>
      <c r="G2" s="96"/>
      <c r="H2" s="96"/>
      <c r="I2" s="96"/>
      <c r="J2" s="96"/>
    </row>
    <row r="4" spans="1:11" ht="18.75" customHeight="1" x14ac:dyDescent="0.35">
      <c r="A4" s="94" t="s">
        <v>82</v>
      </c>
      <c r="B4" s="94"/>
      <c r="C4" s="94"/>
      <c r="D4" s="94"/>
      <c r="E4" s="94"/>
      <c r="F4" s="94"/>
      <c r="G4" s="94"/>
      <c r="H4" s="94"/>
      <c r="I4" s="94"/>
      <c r="J4" s="94"/>
    </row>
    <row r="5" spans="1:11" ht="19.5" customHeight="1" x14ac:dyDescent="0.35">
      <c r="A5" s="20" t="s">
        <v>83</v>
      </c>
      <c r="B5" s="20" t="s">
        <v>84</v>
      </c>
      <c r="C5" s="20" t="s">
        <v>68</v>
      </c>
      <c r="D5" s="20" t="s">
        <v>72</v>
      </c>
      <c r="E5" s="20" t="s">
        <v>73</v>
      </c>
      <c r="F5" s="20" t="s">
        <v>85</v>
      </c>
      <c r="G5" s="20" t="s">
        <v>76</v>
      </c>
      <c r="H5" s="20" t="s">
        <v>78</v>
      </c>
      <c r="I5" s="20" t="s">
        <v>79</v>
      </c>
      <c r="J5" s="20" t="s">
        <v>86</v>
      </c>
      <c r="K5" s="101" t="s">
        <v>320</v>
      </c>
    </row>
    <row r="6" spans="1:11" x14ac:dyDescent="0.35">
      <c r="A6" s="91" t="s">
        <v>63</v>
      </c>
      <c r="B6" s="21" t="s">
        <v>324</v>
      </c>
      <c r="C6" s="22">
        <v>37949.369269579598</v>
      </c>
      <c r="D6" s="22">
        <v>19236.035841000001</v>
      </c>
      <c r="E6" s="22">
        <v>16574.489746898402</v>
      </c>
      <c r="F6" s="22">
        <v>2950.9930000305199</v>
      </c>
      <c r="G6" s="22">
        <v>5711.02</v>
      </c>
      <c r="H6" s="22">
        <v>13774.1</v>
      </c>
      <c r="I6" s="22">
        <v>16706.45</v>
      </c>
      <c r="J6" s="23">
        <v>112902.46</v>
      </c>
      <c r="K6" s="102">
        <v>3500</v>
      </c>
    </row>
    <row r="7" spans="1:11" x14ac:dyDescent="0.35">
      <c r="A7" s="92"/>
      <c r="B7" s="24" t="s">
        <v>325</v>
      </c>
      <c r="C7" s="25">
        <v>7928.9137824611598</v>
      </c>
      <c r="D7" s="25">
        <v>10534.62523</v>
      </c>
      <c r="E7" s="25">
        <v>4742.0024042129498</v>
      </c>
      <c r="F7" s="25">
        <v>1729.5</v>
      </c>
      <c r="G7" s="25">
        <v>2038.97579315186</v>
      </c>
      <c r="H7" s="25">
        <v>13792.4</v>
      </c>
      <c r="I7" s="25">
        <v>22880.92</v>
      </c>
      <c r="J7" s="26">
        <v>63647.34</v>
      </c>
      <c r="K7" s="102">
        <v>3500</v>
      </c>
    </row>
    <row r="8" spans="1:11" x14ac:dyDescent="0.35">
      <c r="A8" s="93"/>
      <c r="B8" s="27" t="s">
        <v>87</v>
      </c>
      <c r="C8" s="28">
        <f t="shared" ref="C8:I8" si="0">IFERROR(SUM(C6:C7),"-")</f>
        <v>45878.283052040759</v>
      </c>
      <c r="D8" s="28">
        <f t="shared" si="0"/>
        <v>29770.661071000002</v>
      </c>
      <c r="E8" s="28">
        <f t="shared" si="0"/>
        <v>21316.49215111135</v>
      </c>
      <c r="F8" s="28">
        <f t="shared" si="0"/>
        <v>4680.4930000305194</v>
      </c>
      <c r="G8" s="28">
        <f t="shared" si="0"/>
        <v>7749.9957931518602</v>
      </c>
      <c r="H8" s="28">
        <f t="shared" si="0"/>
        <v>27566.5</v>
      </c>
      <c r="I8" s="28">
        <f t="shared" si="0"/>
        <v>39587.369999999995</v>
      </c>
      <c r="J8" s="28">
        <f>IFERROR(SUM(J6:J7),"-")</f>
        <v>176549.8</v>
      </c>
      <c r="K8" s="102"/>
    </row>
    <row r="9" spans="1:11" x14ac:dyDescent="0.35">
      <c r="A9" s="91" t="s">
        <v>16</v>
      </c>
      <c r="B9" s="21" t="s">
        <v>88</v>
      </c>
      <c r="C9" s="22">
        <v>33538.003463679503</v>
      </c>
      <c r="D9" s="22">
        <v>4432.2477099999996</v>
      </c>
      <c r="E9" s="22">
        <v>8133.5457895174604</v>
      </c>
      <c r="F9" s="22">
        <v>2036.6303467750599</v>
      </c>
      <c r="G9" s="22">
        <v>14271.653046608</v>
      </c>
      <c r="H9" s="22">
        <v>21320.17</v>
      </c>
      <c r="I9" s="22">
        <v>15002.62</v>
      </c>
      <c r="J9" s="23">
        <v>98734.87</v>
      </c>
      <c r="K9" s="102">
        <v>4000</v>
      </c>
    </row>
    <row r="10" spans="1:11" x14ac:dyDescent="0.35">
      <c r="A10" s="92"/>
      <c r="B10" s="24" t="s">
        <v>326</v>
      </c>
      <c r="C10" s="25">
        <v>23675.664899359301</v>
      </c>
      <c r="D10" s="25">
        <v>36976.886508000003</v>
      </c>
      <c r="E10" s="25">
        <v>43939.660540813602</v>
      </c>
      <c r="F10" s="25">
        <v>35179.817925122799</v>
      </c>
      <c r="G10" s="25">
        <v>57497.452854458403</v>
      </c>
      <c r="H10" s="25">
        <v>50538.7</v>
      </c>
      <c r="I10" s="25">
        <v>21839.119999999999</v>
      </c>
      <c r="J10" s="26">
        <v>269647.3</v>
      </c>
      <c r="K10" s="102">
        <v>4600</v>
      </c>
    </row>
    <row r="11" spans="1:11" x14ac:dyDescent="0.35">
      <c r="A11" s="92"/>
      <c r="B11" s="21" t="s">
        <v>89</v>
      </c>
      <c r="C11" s="22" t="s">
        <v>90</v>
      </c>
      <c r="D11" s="22" t="s">
        <v>90</v>
      </c>
      <c r="E11" s="22">
        <v>36269.778752308303</v>
      </c>
      <c r="F11" s="22">
        <v>51708.5773463488</v>
      </c>
      <c r="G11" s="22">
        <v>8390.51</v>
      </c>
      <c r="H11" s="22" t="s">
        <v>90</v>
      </c>
      <c r="I11" s="22">
        <v>19921.580000000002</v>
      </c>
      <c r="J11" s="23">
        <v>116290.45</v>
      </c>
      <c r="K11" s="102">
        <v>4150</v>
      </c>
    </row>
    <row r="12" spans="1:11" x14ac:dyDescent="0.35">
      <c r="A12" s="93"/>
      <c r="B12" s="27" t="s">
        <v>91</v>
      </c>
      <c r="C12" s="103">
        <f t="shared" ref="C12:G12" si="1">IFERROR(SUM(C9:C11),"-")</f>
        <v>57213.6683630388</v>
      </c>
      <c r="D12" s="28">
        <f t="shared" si="1"/>
        <v>41409.134218000007</v>
      </c>
      <c r="E12" s="28">
        <f t="shared" si="1"/>
        <v>88342.985082639367</v>
      </c>
      <c r="F12" s="28">
        <f t="shared" si="1"/>
        <v>88925.025618246669</v>
      </c>
      <c r="G12" s="28">
        <f t="shared" si="1"/>
        <v>80159.615901066398</v>
      </c>
      <c r="H12" s="28">
        <f>IFERROR(SUM(H9:H11),"-")</f>
        <v>71858.87</v>
      </c>
      <c r="I12" s="28">
        <f>IFERROR(SUM(I9:I11),"-")</f>
        <v>56763.32</v>
      </c>
      <c r="J12" s="28">
        <f>IFERROR(SUM(J9:J11),"-")</f>
        <v>484672.62</v>
      </c>
      <c r="K12" s="102"/>
    </row>
    <row r="13" spans="1:11" x14ac:dyDescent="0.35">
      <c r="A13" s="29"/>
      <c r="B13" s="30" t="s">
        <v>92</v>
      </c>
      <c r="C13" s="31">
        <f t="shared" ref="C13:J13" si="2">IFERROR(SUM(C6:C7,C9:C11),"-")</f>
        <v>103091.95141507956</v>
      </c>
      <c r="D13" s="31">
        <f t="shared" si="2"/>
        <v>71179.795289000002</v>
      </c>
      <c r="E13" s="31">
        <f t="shared" si="2"/>
        <v>109659.47723375072</v>
      </c>
      <c r="F13" s="31">
        <f t="shared" si="2"/>
        <v>93605.518618277187</v>
      </c>
      <c r="G13" s="31">
        <f t="shared" si="2"/>
        <v>87909.611694218256</v>
      </c>
      <c r="H13" s="31">
        <f t="shared" si="2"/>
        <v>99425.37</v>
      </c>
      <c r="I13" s="31">
        <f t="shared" si="2"/>
        <v>96350.69</v>
      </c>
      <c r="J13" s="31">
        <f t="shared" si="2"/>
        <v>661222.41999999993</v>
      </c>
    </row>
    <row r="15" spans="1:11" ht="18.75" customHeight="1" x14ac:dyDescent="0.35">
      <c r="A15" s="94" t="s">
        <v>93</v>
      </c>
      <c r="B15" s="94"/>
      <c r="C15" s="94"/>
      <c r="D15" s="94"/>
      <c r="E15" s="94"/>
      <c r="F15" s="94"/>
      <c r="G15" s="94"/>
      <c r="H15" s="94"/>
      <c r="I15" s="94"/>
      <c r="J15" s="94"/>
    </row>
    <row r="16" spans="1:11" ht="19.5" customHeight="1" x14ac:dyDescent="0.35">
      <c r="A16" s="20" t="s">
        <v>83</v>
      </c>
      <c r="B16" s="20" t="s">
        <v>84</v>
      </c>
      <c r="C16" s="20" t="s">
        <v>68</v>
      </c>
      <c r="D16" s="20" t="s">
        <v>72</v>
      </c>
      <c r="E16" s="20" t="s">
        <v>73</v>
      </c>
      <c r="F16" s="20" t="s">
        <v>85</v>
      </c>
      <c r="G16" s="20" t="s">
        <v>76</v>
      </c>
      <c r="H16" s="20" t="s">
        <v>78</v>
      </c>
      <c r="I16" s="20" t="s">
        <v>79</v>
      </c>
      <c r="J16" s="20" t="s">
        <v>86</v>
      </c>
      <c r="K16" s="101" t="s">
        <v>320</v>
      </c>
    </row>
    <row r="17" spans="1:19" x14ac:dyDescent="0.35">
      <c r="A17" s="91" t="s">
        <v>63</v>
      </c>
      <c r="B17" s="21" t="s">
        <v>324</v>
      </c>
      <c r="C17" s="22">
        <v>2108.2982927544199</v>
      </c>
      <c r="D17" s="22">
        <v>1374.00256007143</v>
      </c>
      <c r="E17" s="22">
        <v>4143.6224367246105</v>
      </c>
      <c r="F17" s="22">
        <v>983.66433334350597</v>
      </c>
      <c r="G17" s="22">
        <v>1903.67333333333</v>
      </c>
      <c r="H17" s="22">
        <v>3443.53</v>
      </c>
      <c r="I17" s="22">
        <v>2784.41</v>
      </c>
      <c r="J17" s="23">
        <v>2171.1999999999998</v>
      </c>
      <c r="K17" s="102">
        <v>3500</v>
      </c>
      <c r="M17" s="32" t="e">
        <f>#REF!</f>
        <v>#REF!</v>
      </c>
      <c r="N17" s="32" t="e">
        <f>#REF!</f>
        <v>#REF!</v>
      </c>
      <c r="O17" s="32" t="e">
        <f>#REF!</f>
        <v>#REF!</v>
      </c>
      <c r="P17" s="32" t="e">
        <f>#REF!</f>
        <v>#REF!</v>
      </c>
      <c r="Q17" s="32" t="e">
        <f>#REF!</f>
        <v>#REF!</v>
      </c>
      <c r="R17" s="32" t="e">
        <f>#REF!</f>
        <v>#REF!</v>
      </c>
      <c r="S17" s="32" t="e">
        <f>#REF!</f>
        <v>#REF!</v>
      </c>
    </row>
    <row r="18" spans="1:19" x14ac:dyDescent="0.35">
      <c r="A18" s="92"/>
      <c r="B18" s="24" t="s">
        <v>325</v>
      </c>
      <c r="C18" s="25">
        <v>1585.78275649223</v>
      </c>
      <c r="D18" s="25">
        <v>1755.77087166667</v>
      </c>
      <c r="E18" s="25">
        <v>1580.66746807098</v>
      </c>
      <c r="F18" s="25">
        <v>1729.5</v>
      </c>
      <c r="G18" s="25">
        <v>1019.48789657593</v>
      </c>
      <c r="H18" s="25">
        <v>1532.49</v>
      </c>
      <c r="I18" s="25">
        <v>1906.74</v>
      </c>
      <c r="J18" s="26">
        <v>1674.93</v>
      </c>
      <c r="K18" s="102">
        <v>3500</v>
      </c>
      <c r="M18" s="32" t="e">
        <f>#REF!</f>
        <v>#REF!</v>
      </c>
      <c r="N18" s="32" t="e">
        <f>#REF!</f>
        <v>#REF!</v>
      </c>
      <c r="O18" s="32" t="e">
        <f>#REF!</f>
        <v>#REF!</v>
      </c>
      <c r="P18" s="32" t="e">
        <f>#REF!</f>
        <v>#REF!</v>
      </c>
      <c r="Q18" s="32" t="e">
        <f>#REF!</f>
        <v>#REF!</v>
      </c>
      <c r="R18" s="32" t="e">
        <f>#REF!</f>
        <v>#REF!</v>
      </c>
      <c r="S18" s="32" t="e">
        <f>#REF!</f>
        <v>#REF!</v>
      </c>
    </row>
    <row r="19" spans="1:19" x14ac:dyDescent="0.35">
      <c r="A19" s="93"/>
      <c r="B19" s="27" t="s">
        <v>87</v>
      </c>
      <c r="C19" s="28">
        <f t="shared" ref="C19:J19" si="3">IFERROR(AVERAGE(C17:C18),"-")</f>
        <v>1847.0405246233249</v>
      </c>
      <c r="D19" s="28">
        <f t="shared" si="3"/>
        <v>1564.88671586905</v>
      </c>
      <c r="E19" s="28">
        <f t="shared" si="3"/>
        <v>2862.1449523977954</v>
      </c>
      <c r="F19" s="28">
        <f t="shared" si="3"/>
        <v>1356.5821666717529</v>
      </c>
      <c r="G19" s="28">
        <f t="shared" si="3"/>
        <v>1461.5806149546299</v>
      </c>
      <c r="H19" s="28">
        <f t="shared" si="3"/>
        <v>2488.0100000000002</v>
      </c>
      <c r="I19" s="28">
        <f t="shared" si="3"/>
        <v>2345.5749999999998</v>
      </c>
      <c r="J19" s="28">
        <f t="shared" si="3"/>
        <v>1923.0650000000001</v>
      </c>
      <c r="K19" s="102"/>
    </row>
    <row r="20" spans="1:19" x14ac:dyDescent="0.35">
      <c r="A20" s="91" t="s">
        <v>16</v>
      </c>
      <c r="B20" s="21" t="s">
        <v>88</v>
      </c>
      <c r="C20" s="22">
        <v>2395.5716759771099</v>
      </c>
      <c r="D20" s="22">
        <v>2216.1238549999998</v>
      </c>
      <c r="E20" s="22">
        <v>2033.3864473793701</v>
      </c>
      <c r="F20" s="22">
        <v>1018.31517338753</v>
      </c>
      <c r="G20" s="22">
        <v>3567.9132616519901</v>
      </c>
      <c r="H20" s="22">
        <v>1938.2</v>
      </c>
      <c r="I20" s="22">
        <v>2143.23</v>
      </c>
      <c r="J20" s="23">
        <v>2243.9699999999998</v>
      </c>
      <c r="K20" s="102">
        <v>4000</v>
      </c>
      <c r="M20" s="32" t="e">
        <f>#REF!</f>
        <v>#REF!</v>
      </c>
      <c r="N20" s="32" t="e">
        <f>#REF!</f>
        <v>#REF!</v>
      </c>
      <c r="O20" s="32" t="e">
        <f>#REF!</f>
        <v>#REF!</v>
      </c>
      <c r="P20" s="32" t="e">
        <f>#REF!</f>
        <v>#REF!</v>
      </c>
      <c r="Q20" s="32" t="e">
        <f>#REF!</f>
        <v>#REF!</v>
      </c>
      <c r="R20" s="32" t="e">
        <f>#REF!</f>
        <v>#REF!</v>
      </c>
      <c r="S20" s="32" t="e">
        <f>#REF!</f>
        <v>#REF!</v>
      </c>
    </row>
    <row r="21" spans="1:19" x14ac:dyDescent="0.35">
      <c r="A21" s="92"/>
      <c r="B21" s="24" t="s">
        <v>326</v>
      </c>
      <c r="C21" s="25">
        <v>2367.5664899359299</v>
      </c>
      <c r="D21" s="25">
        <v>2311.0554067500002</v>
      </c>
      <c r="E21" s="25">
        <v>1997.2572973097101</v>
      </c>
      <c r="F21" s="25">
        <v>1758.9908962561401</v>
      </c>
      <c r="G21" s="25">
        <v>2613.5205842935602</v>
      </c>
      <c r="H21" s="25">
        <v>2406.6</v>
      </c>
      <c r="I21" s="25">
        <v>2183.91</v>
      </c>
      <c r="J21" s="26">
        <v>2228.4899999999998</v>
      </c>
      <c r="K21" s="102">
        <v>4600</v>
      </c>
      <c r="M21" s="32" t="e">
        <f>#REF!</f>
        <v>#REF!</v>
      </c>
      <c r="N21" s="32" t="e">
        <f>#REF!</f>
        <v>#REF!</v>
      </c>
      <c r="O21" s="32" t="e">
        <f>#REF!</f>
        <v>#REF!</v>
      </c>
      <c r="P21" s="32" t="e">
        <f>#REF!</f>
        <v>#REF!</v>
      </c>
      <c r="Q21" s="32" t="e">
        <f>#REF!</f>
        <v>#REF!</v>
      </c>
      <c r="R21" s="32" t="e">
        <f>#REF!</f>
        <v>#REF!</v>
      </c>
      <c r="S21" s="32" t="e">
        <f>#REF!</f>
        <v>#REF!</v>
      </c>
    </row>
    <row r="22" spans="1:19" x14ac:dyDescent="0.35">
      <c r="A22" s="92"/>
      <c r="B22" s="21" t="s">
        <v>89</v>
      </c>
      <c r="C22" s="22" t="s">
        <v>90</v>
      </c>
      <c r="D22" s="22" t="s">
        <v>90</v>
      </c>
      <c r="E22" s="22">
        <v>3022.4815626923601</v>
      </c>
      <c r="F22" s="22">
        <v>3447.2384897565898</v>
      </c>
      <c r="G22" s="22">
        <v>4195.2550000000001</v>
      </c>
      <c r="H22" s="22" t="s">
        <v>90</v>
      </c>
      <c r="I22" s="22">
        <v>2213.5100000000002</v>
      </c>
      <c r="J22" s="23">
        <v>3060.27</v>
      </c>
      <c r="K22" s="102">
        <v>4150</v>
      </c>
      <c r="O22" s="32" t="e">
        <f>#REF!</f>
        <v>#REF!</v>
      </c>
      <c r="P22" s="32" t="e">
        <f>#REF!</f>
        <v>#REF!</v>
      </c>
      <c r="Q22" s="32" t="e">
        <f>#REF!</f>
        <v>#REF!</v>
      </c>
      <c r="S22" s="32" t="e">
        <f>#REF!</f>
        <v>#REF!</v>
      </c>
    </row>
    <row r="23" spans="1:19" x14ac:dyDescent="0.35">
      <c r="A23" s="93"/>
      <c r="B23" s="27" t="s">
        <v>91</v>
      </c>
      <c r="C23" s="28">
        <f t="shared" ref="C23:J23" si="4">IFERROR(AVERAGE(C20:C22),"-")</f>
        <v>2381.5690829565201</v>
      </c>
      <c r="D23" s="28">
        <f t="shared" si="4"/>
        <v>2263.5896308749998</v>
      </c>
      <c r="E23" s="28">
        <f t="shared" si="4"/>
        <v>2351.0417691271468</v>
      </c>
      <c r="F23" s="28">
        <f t="shared" si="4"/>
        <v>2074.8481864667533</v>
      </c>
      <c r="G23" s="28">
        <f t="shared" si="4"/>
        <v>3458.8962819818503</v>
      </c>
      <c r="H23" s="28">
        <f t="shared" si="4"/>
        <v>2172.4</v>
      </c>
      <c r="I23" s="28">
        <f t="shared" si="4"/>
        <v>2180.2166666666667</v>
      </c>
      <c r="J23" s="28">
        <f t="shared" si="4"/>
        <v>2510.91</v>
      </c>
      <c r="K23" s="102"/>
    </row>
    <row r="24" spans="1:19" x14ac:dyDescent="0.35">
      <c r="A24" s="29"/>
      <c r="B24" s="30" t="s">
        <v>94</v>
      </c>
      <c r="C24" s="31">
        <f t="shared" ref="C24:J24" si="5">IFERROR(AVERAGE(C17:C18,C20:C22),"-")</f>
        <v>2114.3048037899225</v>
      </c>
      <c r="D24" s="31">
        <f t="shared" si="5"/>
        <v>1914.2381733720249</v>
      </c>
      <c r="E24" s="31">
        <f t="shared" si="5"/>
        <v>2555.4830424354063</v>
      </c>
      <c r="F24" s="31">
        <f t="shared" si="5"/>
        <v>1787.541778548753</v>
      </c>
      <c r="G24" s="31">
        <f t="shared" si="5"/>
        <v>2659.9700151709621</v>
      </c>
      <c r="H24" s="31">
        <f t="shared" si="5"/>
        <v>2330.2049999999999</v>
      </c>
      <c r="I24" s="31">
        <f t="shared" si="5"/>
        <v>2246.3599999999997</v>
      </c>
      <c r="J24" s="31">
        <f t="shared" si="5"/>
        <v>2275.7719999999999</v>
      </c>
    </row>
    <row r="26" spans="1:19" ht="18.75" customHeight="1" x14ac:dyDescent="0.35">
      <c r="A26" s="94" t="s">
        <v>95</v>
      </c>
      <c r="B26" s="94"/>
      <c r="C26" s="94"/>
      <c r="D26" s="94"/>
      <c r="E26" s="94"/>
      <c r="F26" s="94"/>
      <c r="G26" s="94"/>
      <c r="H26" s="94"/>
      <c r="I26" s="94"/>
      <c r="J26" s="94"/>
    </row>
    <row r="27" spans="1:19" ht="19.5" customHeight="1" x14ac:dyDescent="0.35">
      <c r="A27" s="20" t="s">
        <v>83</v>
      </c>
      <c r="B27" s="20" t="s">
        <v>84</v>
      </c>
      <c r="C27" s="20" t="s">
        <v>68</v>
      </c>
      <c r="D27" s="20" t="s">
        <v>72</v>
      </c>
      <c r="E27" s="20" t="s">
        <v>73</v>
      </c>
      <c r="F27" s="20" t="s">
        <v>85</v>
      </c>
      <c r="G27" s="20" t="s">
        <v>76</v>
      </c>
      <c r="H27" s="20" t="s">
        <v>78</v>
      </c>
      <c r="I27" s="20" t="s">
        <v>79</v>
      </c>
      <c r="J27" s="20" t="s">
        <v>86</v>
      </c>
      <c r="K27" s="101" t="s">
        <v>320</v>
      </c>
    </row>
    <row r="28" spans="1:19" x14ac:dyDescent="0.35">
      <c r="A28" s="91" t="s">
        <v>63</v>
      </c>
      <c r="B28" s="21" t="s">
        <v>324</v>
      </c>
      <c r="C28" s="22">
        <v>18</v>
      </c>
      <c r="D28" s="22">
        <v>14</v>
      </c>
      <c r="E28" s="22">
        <v>4</v>
      </c>
      <c r="F28" s="22">
        <v>3</v>
      </c>
      <c r="G28" s="22">
        <v>3</v>
      </c>
      <c r="H28" s="22">
        <v>4</v>
      </c>
      <c r="I28" s="22">
        <v>6</v>
      </c>
      <c r="J28" s="97">
        <v>52</v>
      </c>
      <c r="K28" s="102">
        <v>3500</v>
      </c>
    </row>
    <row r="29" spans="1:19" x14ac:dyDescent="0.35">
      <c r="A29" s="92"/>
      <c r="B29" s="24" t="s">
        <v>325</v>
      </c>
      <c r="C29" s="25">
        <v>5</v>
      </c>
      <c r="D29" s="25">
        <v>6</v>
      </c>
      <c r="E29" s="25">
        <v>3</v>
      </c>
      <c r="F29" s="25">
        <v>1</v>
      </c>
      <c r="G29" s="25">
        <v>2</v>
      </c>
      <c r="H29" s="25">
        <v>9</v>
      </c>
      <c r="I29" s="25">
        <v>12</v>
      </c>
      <c r="J29" s="98">
        <v>38</v>
      </c>
      <c r="K29" s="102">
        <v>3500</v>
      </c>
    </row>
    <row r="30" spans="1:19" x14ac:dyDescent="0.35">
      <c r="A30" s="93"/>
      <c r="B30" s="27" t="s">
        <v>87</v>
      </c>
      <c r="C30" s="28">
        <f t="shared" ref="C30:J30" si="6">IFERROR(SUM(C28:C29),"-")</f>
        <v>23</v>
      </c>
      <c r="D30" s="28">
        <f t="shared" si="6"/>
        <v>20</v>
      </c>
      <c r="E30" s="28">
        <f t="shared" si="6"/>
        <v>7</v>
      </c>
      <c r="F30" s="28">
        <f t="shared" si="6"/>
        <v>4</v>
      </c>
      <c r="G30" s="28">
        <f t="shared" si="6"/>
        <v>5</v>
      </c>
      <c r="H30" s="28">
        <f t="shared" si="6"/>
        <v>13</v>
      </c>
      <c r="I30" s="28">
        <f t="shared" si="6"/>
        <v>18</v>
      </c>
      <c r="J30" s="99">
        <f t="shared" si="6"/>
        <v>90</v>
      </c>
      <c r="K30" s="102"/>
    </row>
    <row r="31" spans="1:19" x14ac:dyDescent="0.35">
      <c r="A31" s="91" t="s">
        <v>16</v>
      </c>
      <c r="B31" s="21" t="s">
        <v>88</v>
      </c>
      <c r="C31" s="22">
        <v>14</v>
      </c>
      <c r="D31" s="22">
        <v>2</v>
      </c>
      <c r="E31" s="22">
        <v>4</v>
      </c>
      <c r="F31" s="22">
        <v>2</v>
      </c>
      <c r="G31" s="22">
        <v>4</v>
      </c>
      <c r="H31" s="22">
        <v>11</v>
      </c>
      <c r="I31" s="22">
        <v>7</v>
      </c>
      <c r="J31" s="97">
        <v>44</v>
      </c>
      <c r="K31" s="102">
        <v>4000</v>
      </c>
    </row>
    <row r="32" spans="1:19" x14ac:dyDescent="0.35">
      <c r="A32" s="92"/>
      <c r="B32" s="24" t="s">
        <v>326</v>
      </c>
      <c r="C32" s="25">
        <v>10</v>
      </c>
      <c r="D32" s="25">
        <v>16</v>
      </c>
      <c r="E32" s="25">
        <v>22</v>
      </c>
      <c r="F32" s="25">
        <v>20</v>
      </c>
      <c r="G32" s="25">
        <v>22</v>
      </c>
      <c r="H32" s="25">
        <v>21</v>
      </c>
      <c r="I32" s="25">
        <v>10</v>
      </c>
      <c r="J32" s="98">
        <v>121</v>
      </c>
      <c r="K32" s="102">
        <v>4600</v>
      </c>
    </row>
    <row r="33" spans="1:11" x14ac:dyDescent="0.35">
      <c r="A33" s="92"/>
      <c r="B33" s="21" t="s">
        <v>89</v>
      </c>
      <c r="C33" s="22">
        <v>0</v>
      </c>
      <c r="D33" s="22">
        <v>0</v>
      </c>
      <c r="E33" s="22">
        <v>12</v>
      </c>
      <c r="F33" s="22">
        <v>15</v>
      </c>
      <c r="G33" s="22">
        <v>2</v>
      </c>
      <c r="H33" s="22">
        <v>0</v>
      </c>
      <c r="I33" s="22">
        <v>9</v>
      </c>
      <c r="J33" s="97">
        <v>38</v>
      </c>
      <c r="K33" s="102">
        <v>4150</v>
      </c>
    </row>
    <row r="34" spans="1:11" x14ac:dyDescent="0.35">
      <c r="A34" s="93"/>
      <c r="B34" s="27" t="s">
        <v>91</v>
      </c>
      <c r="C34" s="28">
        <f t="shared" ref="C34:J34" si="7">IFERROR(SUM(C31:C33),"-")</f>
        <v>24</v>
      </c>
      <c r="D34" s="28">
        <f t="shared" si="7"/>
        <v>18</v>
      </c>
      <c r="E34" s="28">
        <f t="shared" si="7"/>
        <v>38</v>
      </c>
      <c r="F34" s="28">
        <f t="shared" si="7"/>
        <v>37</v>
      </c>
      <c r="G34" s="28">
        <f t="shared" si="7"/>
        <v>28</v>
      </c>
      <c r="H34" s="28">
        <f t="shared" si="7"/>
        <v>32</v>
      </c>
      <c r="I34" s="28">
        <f t="shared" si="7"/>
        <v>26</v>
      </c>
      <c r="J34" s="99">
        <f t="shared" si="7"/>
        <v>203</v>
      </c>
      <c r="K34" s="102"/>
    </row>
    <row r="35" spans="1:11" x14ac:dyDescent="0.35">
      <c r="A35" s="29"/>
      <c r="B35" s="30" t="s">
        <v>92</v>
      </c>
      <c r="C35" s="31">
        <f t="shared" ref="C35:J35" si="8">IFERROR(SUM(C28:C29,C31:C33),"-")</f>
        <v>47</v>
      </c>
      <c r="D35" s="31">
        <f t="shared" si="8"/>
        <v>38</v>
      </c>
      <c r="E35" s="31">
        <f t="shared" si="8"/>
        <v>45</v>
      </c>
      <c r="F35" s="31">
        <f t="shared" si="8"/>
        <v>41</v>
      </c>
      <c r="G35" s="31">
        <f t="shared" si="8"/>
        <v>33</v>
      </c>
      <c r="H35" s="31">
        <f t="shared" si="8"/>
        <v>45</v>
      </c>
      <c r="I35" s="31">
        <f t="shared" si="8"/>
        <v>44</v>
      </c>
      <c r="J35" s="31">
        <f t="shared" si="8"/>
        <v>293</v>
      </c>
    </row>
    <row r="37" spans="1:11" ht="18.75" customHeight="1" x14ac:dyDescent="0.35"/>
    <row r="38" spans="1:11" ht="19.5" customHeight="1" x14ac:dyDescent="0.35"/>
    <row r="47" spans="1:11" x14ac:dyDescent="0.35">
      <c r="A47" s="90"/>
      <c r="B47" s="90"/>
      <c r="C47" s="90"/>
      <c r="D47" s="90"/>
      <c r="E47" s="90"/>
      <c r="F47" s="90"/>
      <c r="G47" s="90"/>
      <c r="H47" s="90"/>
      <c r="I47" s="90"/>
      <c r="J47" s="90"/>
    </row>
  </sheetData>
  <mergeCells count="12">
    <mergeCell ref="A15:J15"/>
    <mergeCell ref="A1:J1"/>
    <mergeCell ref="A2:J2"/>
    <mergeCell ref="A4:J4"/>
    <mergeCell ref="A6:A8"/>
    <mergeCell ref="A9:A12"/>
    <mergeCell ref="A47:J47"/>
    <mergeCell ref="A17:A19"/>
    <mergeCell ref="A20:A23"/>
    <mergeCell ref="A26:J26"/>
    <mergeCell ref="A28:A30"/>
    <mergeCell ref="A31:A3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CFBD4-01E7-41DF-A54B-B558D0C26E67}">
  <dimension ref="A1:K53"/>
  <sheetViews>
    <sheetView zoomScaleNormal="100" workbookViewId="0">
      <selection activeCell="E1" sqref="E1:E1048576"/>
    </sheetView>
  </sheetViews>
  <sheetFormatPr defaultRowHeight="14.5" x14ac:dyDescent="0.35"/>
  <cols>
    <col min="5" max="5" width="13.90625" bestFit="1" customWidth="1"/>
    <col min="6" max="6" width="14.54296875" bestFit="1" customWidth="1"/>
    <col min="7" max="7" width="9.6328125" bestFit="1" customWidth="1"/>
    <col min="8" max="8" width="11.6328125" bestFit="1" customWidth="1"/>
    <col min="9" max="9" width="24.08984375" bestFit="1" customWidth="1"/>
    <col min="10" max="10" width="27.90625" bestFit="1" customWidth="1"/>
    <col min="11" max="11" width="16.90625" bestFit="1" customWidth="1"/>
  </cols>
  <sheetData>
    <row r="1" spans="1:11" ht="31" x14ac:dyDescent="0.35">
      <c r="A1" s="11" t="s">
        <v>96</v>
      </c>
      <c r="B1" s="11" t="s">
        <v>97</v>
      </c>
      <c r="C1" s="11" t="s">
        <v>98</v>
      </c>
      <c r="D1" s="11" t="s">
        <v>99</v>
      </c>
      <c r="E1" s="4" t="s">
        <v>4</v>
      </c>
      <c r="F1" s="4" t="s">
        <v>5</v>
      </c>
      <c r="G1" s="11" t="s">
        <v>100</v>
      </c>
      <c r="H1" s="11" t="s">
        <v>101</v>
      </c>
      <c r="I1" s="11" t="s">
        <v>102</v>
      </c>
      <c r="J1" s="4" t="s">
        <v>9</v>
      </c>
      <c r="K1" s="12" t="s">
        <v>103</v>
      </c>
    </row>
    <row r="2" spans="1:11" x14ac:dyDescent="0.35">
      <c r="A2" s="77" t="s">
        <v>104</v>
      </c>
      <c r="B2" s="77">
        <v>2026</v>
      </c>
      <c r="C2" s="14" t="s">
        <v>55</v>
      </c>
      <c r="D2" s="14" t="s">
        <v>105</v>
      </c>
      <c r="E2" s="15" t="s">
        <v>106</v>
      </c>
      <c r="F2" s="15" t="s">
        <v>107</v>
      </c>
      <c r="G2" s="14" t="s">
        <v>327</v>
      </c>
      <c r="H2" s="14">
        <v>12.25</v>
      </c>
      <c r="I2" s="16">
        <v>740.16503190994297</v>
      </c>
      <c r="J2" s="16" t="s">
        <v>108</v>
      </c>
      <c r="K2" s="17">
        <v>3925</v>
      </c>
    </row>
    <row r="3" spans="1:11" x14ac:dyDescent="0.35">
      <c r="A3" s="77" t="s">
        <v>104</v>
      </c>
      <c r="B3" s="77">
        <v>2026</v>
      </c>
      <c r="C3" s="14" t="s">
        <v>55</v>
      </c>
      <c r="D3" s="14" t="s">
        <v>109</v>
      </c>
      <c r="E3" s="15" t="s">
        <v>110</v>
      </c>
      <c r="F3" s="15" t="s">
        <v>111</v>
      </c>
      <c r="G3" s="14" t="s">
        <v>327</v>
      </c>
      <c r="H3" s="14">
        <v>12.25</v>
      </c>
      <c r="I3" s="16">
        <v>1518.0765953063999</v>
      </c>
      <c r="J3" s="16" t="s">
        <v>112</v>
      </c>
      <c r="K3" s="17">
        <v>3925</v>
      </c>
    </row>
    <row r="4" spans="1:11" x14ac:dyDescent="0.35">
      <c r="A4" s="77" t="s">
        <v>104</v>
      </c>
      <c r="B4" s="77">
        <v>2026</v>
      </c>
      <c r="C4" s="14" t="s">
        <v>55</v>
      </c>
      <c r="D4" s="14" t="s">
        <v>113</v>
      </c>
      <c r="E4" s="15" t="s">
        <v>114</v>
      </c>
      <c r="F4" s="15" t="s">
        <v>115</v>
      </c>
      <c r="G4" s="14" t="s">
        <v>327</v>
      </c>
      <c r="H4" s="14">
        <v>12.25</v>
      </c>
      <c r="I4" s="16">
        <v>815.92209625244095</v>
      </c>
      <c r="J4" s="16" t="s">
        <v>108</v>
      </c>
      <c r="K4" s="17">
        <v>3925</v>
      </c>
    </row>
    <row r="5" spans="1:11" x14ac:dyDescent="0.35">
      <c r="A5" s="77" t="s">
        <v>104</v>
      </c>
      <c r="B5" s="77">
        <v>2026</v>
      </c>
      <c r="C5" s="14" t="s">
        <v>55</v>
      </c>
      <c r="D5" s="14" t="s">
        <v>116</v>
      </c>
      <c r="E5" s="15" t="s">
        <v>117</v>
      </c>
      <c r="F5" s="15" t="s">
        <v>118</v>
      </c>
      <c r="G5" s="14" t="s">
        <v>327</v>
      </c>
      <c r="H5" s="14">
        <v>12.25</v>
      </c>
      <c r="I5" s="16">
        <v>1152.0516986846901</v>
      </c>
      <c r="J5" s="16" t="s">
        <v>112</v>
      </c>
      <c r="K5" s="17">
        <v>3925</v>
      </c>
    </row>
    <row r="6" spans="1:11" x14ac:dyDescent="0.35">
      <c r="A6" s="77" t="s">
        <v>104</v>
      </c>
      <c r="B6" s="77">
        <v>2026</v>
      </c>
      <c r="C6" s="14" t="s">
        <v>55</v>
      </c>
      <c r="D6" s="14" t="s">
        <v>119</v>
      </c>
      <c r="E6" s="15" t="s">
        <v>120</v>
      </c>
      <c r="F6" s="15" t="s">
        <v>121</v>
      </c>
      <c r="G6" s="14" t="s">
        <v>327</v>
      </c>
      <c r="H6" s="14">
        <v>12.25</v>
      </c>
      <c r="I6" s="16">
        <v>1768.50620651245</v>
      </c>
      <c r="J6" s="16" t="s">
        <v>112</v>
      </c>
      <c r="K6" s="17">
        <v>3925</v>
      </c>
    </row>
    <row r="7" spans="1:11" x14ac:dyDescent="0.35">
      <c r="A7" s="77" t="s">
        <v>104</v>
      </c>
      <c r="B7" s="77">
        <v>2026</v>
      </c>
      <c r="C7" s="14" t="s">
        <v>55</v>
      </c>
      <c r="D7" s="14" t="s">
        <v>105</v>
      </c>
      <c r="E7" s="15" t="s">
        <v>122</v>
      </c>
      <c r="F7" s="15" t="s">
        <v>123</v>
      </c>
      <c r="G7" s="14" t="s">
        <v>327</v>
      </c>
      <c r="H7" s="14">
        <v>12.25</v>
      </c>
      <c r="I7" s="16">
        <v>1178.6412048339801</v>
      </c>
      <c r="J7" s="16" t="s">
        <v>112</v>
      </c>
      <c r="K7" s="17">
        <v>3925</v>
      </c>
    </row>
    <row r="8" spans="1:11" x14ac:dyDescent="0.35">
      <c r="A8" s="77" t="s">
        <v>104</v>
      </c>
      <c r="B8" s="77">
        <v>2026</v>
      </c>
      <c r="C8" s="14" t="s">
        <v>55</v>
      </c>
      <c r="D8" s="14" t="s">
        <v>113</v>
      </c>
      <c r="E8" s="15" t="s">
        <v>124</v>
      </c>
      <c r="F8" s="15" t="s">
        <v>125</v>
      </c>
      <c r="G8" s="14" t="s">
        <v>327</v>
      </c>
      <c r="H8" s="14">
        <v>12.25</v>
      </c>
      <c r="I8" s="16">
        <v>1626.4288949966401</v>
      </c>
      <c r="J8" s="16" t="s">
        <v>112</v>
      </c>
      <c r="K8" s="17">
        <v>3925</v>
      </c>
    </row>
    <row r="9" spans="1:11" x14ac:dyDescent="0.35">
      <c r="A9" s="77" t="s">
        <v>104</v>
      </c>
      <c r="B9" s="77">
        <v>2026</v>
      </c>
      <c r="C9" s="14" t="s">
        <v>55</v>
      </c>
      <c r="D9" s="14" t="s">
        <v>109</v>
      </c>
      <c r="E9" s="15" t="s">
        <v>126</v>
      </c>
      <c r="F9" s="15" t="s">
        <v>127</v>
      </c>
      <c r="G9" s="14" t="s">
        <v>327</v>
      </c>
      <c r="H9" s="14">
        <v>12.25</v>
      </c>
      <c r="I9" s="16">
        <v>3026.2199926376302</v>
      </c>
      <c r="J9" s="16" t="s">
        <v>112</v>
      </c>
      <c r="K9" s="17">
        <v>3925</v>
      </c>
    </row>
    <row r="10" spans="1:11" x14ac:dyDescent="0.35">
      <c r="A10" s="77" t="s">
        <v>104</v>
      </c>
      <c r="B10" s="77">
        <v>2026</v>
      </c>
      <c r="C10" s="14" t="s">
        <v>57</v>
      </c>
      <c r="D10" s="14" t="s">
        <v>113</v>
      </c>
      <c r="E10" s="15" t="s">
        <v>128</v>
      </c>
      <c r="F10" s="15" t="s">
        <v>129</v>
      </c>
      <c r="G10" s="14" t="s">
        <v>327</v>
      </c>
      <c r="H10" s="14">
        <v>12.25</v>
      </c>
      <c r="I10" s="16">
        <v>1463.22910499573</v>
      </c>
      <c r="J10" s="16" t="s">
        <v>112</v>
      </c>
      <c r="K10" s="17">
        <v>3925</v>
      </c>
    </row>
    <row r="11" spans="1:11" x14ac:dyDescent="0.35">
      <c r="A11" s="77" t="s">
        <v>104</v>
      </c>
      <c r="B11" s="77">
        <v>2026</v>
      </c>
      <c r="C11" s="14" t="s">
        <v>57</v>
      </c>
      <c r="D11" s="14" t="s">
        <v>119</v>
      </c>
      <c r="E11" s="15" t="s">
        <v>130</v>
      </c>
      <c r="F11" s="15" t="s">
        <v>131</v>
      </c>
      <c r="G11" s="14" t="s">
        <v>327</v>
      </c>
      <c r="H11" s="14">
        <v>12.25</v>
      </c>
      <c r="I11" s="16">
        <v>1391.39756965637</v>
      </c>
      <c r="J11" s="16" t="s">
        <v>112</v>
      </c>
      <c r="K11" s="17">
        <v>3925</v>
      </c>
    </row>
    <row r="12" spans="1:11" x14ac:dyDescent="0.35">
      <c r="A12" s="77" t="s">
        <v>104</v>
      </c>
      <c r="B12" s="77">
        <v>2026</v>
      </c>
      <c r="C12" s="14" t="s">
        <v>57</v>
      </c>
      <c r="D12" s="14" t="s">
        <v>132</v>
      </c>
      <c r="E12" s="15" t="s">
        <v>133</v>
      </c>
      <c r="F12" s="15" t="s">
        <v>134</v>
      </c>
      <c r="G12" s="14" t="s">
        <v>327</v>
      </c>
      <c r="H12" s="14">
        <v>12.25</v>
      </c>
      <c r="I12" s="16">
        <v>267.49850273132301</v>
      </c>
      <c r="J12" s="16" t="s">
        <v>108</v>
      </c>
      <c r="K12" s="17">
        <v>3925</v>
      </c>
    </row>
    <row r="13" spans="1:11" x14ac:dyDescent="0.35">
      <c r="A13" s="77" t="s">
        <v>104</v>
      </c>
      <c r="B13" s="77">
        <v>2026</v>
      </c>
      <c r="C13" s="14" t="s">
        <v>57</v>
      </c>
      <c r="D13" s="14" t="s">
        <v>119</v>
      </c>
      <c r="E13" s="15" t="s">
        <v>135</v>
      </c>
      <c r="F13" s="15" t="s">
        <v>136</v>
      </c>
      <c r="G13" s="14" t="s">
        <v>327</v>
      </c>
      <c r="H13" s="14">
        <v>12.25</v>
      </c>
      <c r="I13" s="16">
        <v>925.82784748077404</v>
      </c>
      <c r="J13" s="16" t="s">
        <v>108</v>
      </c>
      <c r="K13" s="17">
        <v>3925</v>
      </c>
    </row>
    <row r="14" spans="1:11" x14ac:dyDescent="0.35">
      <c r="A14" s="77" t="s">
        <v>104</v>
      </c>
      <c r="B14" s="77">
        <v>2026</v>
      </c>
      <c r="C14" s="14" t="s">
        <v>57</v>
      </c>
      <c r="D14" s="14" t="s">
        <v>132</v>
      </c>
      <c r="E14" s="15" t="s">
        <v>134</v>
      </c>
      <c r="F14" s="15" t="s">
        <v>137</v>
      </c>
      <c r="G14" s="14" t="s">
        <v>327</v>
      </c>
      <c r="H14" s="14">
        <v>12.25</v>
      </c>
      <c r="I14" s="16">
        <v>1528.2598009109499</v>
      </c>
      <c r="J14" s="16" t="s">
        <v>108</v>
      </c>
      <c r="K14" s="17">
        <v>3925</v>
      </c>
    </row>
    <row r="15" spans="1:11" x14ac:dyDescent="0.35">
      <c r="A15" s="77" t="s">
        <v>104</v>
      </c>
      <c r="B15" s="77">
        <v>2026</v>
      </c>
      <c r="C15" s="14" t="s">
        <v>57</v>
      </c>
      <c r="D15" s="14" t="s">
        <v>109</v>
      </c>
      <c r="E15" s="15" t="s">
        <v>138</v>
      </c>
      <c r="F15" s="15" t="s">
        <v>139</v>
      </c>
      <c r="G15" s="14" t="s">
        <v>327</v>
      </c>
      <c r="H15" s="14">
        <v>12.25</v>
      </c>
      <c r="I15" s="16">
        <v>1639.8768968582201</v>
      </c>
      <c r="J15" s="16" t="s">
        <v>112</v>
      </c>
      <c r="K15" s="17">
        <v>3925</v>
      </c>
    </row>
    <row r="16" spans="1:11" x14ac:dyDescent="0.35">
      <c r="A16" s="77" t="s">
        <v>104</v>
      </c>
      <c r="B16" s="77">
        <v>2026</v>
      </c>
      <c r="C16" s="14" t="s">
        <v>57</v>
      </c>
      <c r="D16" s="14" t="s">
        <v>119</v>
      </c>
      <c r="E16" s="15" t="s">
        <v>140</v>
      </c>
      <c r="F16" s="15" t="s">
        <v>141</v>
      </c>
      <c r="G16" s="14" t="s">
        <v>327</v>
      </c>
      <c r="H16" s="14">
        <v>12.25</v>
      </c>
      <c r="I16" s="16">
        <v>1473.9713954925501</v>
      </c>
      <c r="J16" s="16" t="s">
        <v>112</v>
      </c>
      <c r="K16" s="17">
        <v>3925</v>
      </c>
    </row>
    <row r="17" spans="1:11" x14ac:dyDescent="0.35">
      <c r="A17" s="77" t="s">
        <v>104</v>
      </c>
      <c r="B17" s="77">
        <v>2026</v>
      </c>
      <c r="C17" s="14" t="s">
        <v>57</v>
      </c>
      <c r="D17" s="14" t="s">
        <v>116</v>
      </c>
      <c r="E17" s="15" t="s">
        <v>142</v>
      </c>
      <c r="F17" s="15" t="s">
        <v>143</v>
      </c>
      <c r="G17" s="14" t="s">
        <v>327</v>
      </c>
      <c r="H17" s="14">
        <v>12.25</v>
      </c>
      <c r="I17" s="16">
        <v>1828.3084335327101</v>
      </c>
      <c r="J17" s="16" t="s">
        <v>108</v>
      </c>
      <c r="K17" s="17">
        <v>3925</v>
      </c>
    </row>
    <row r="18" spans="1:11" x14ac:dyDescent="0.35">
      <c r="A18" s="77" t="s">
        <v>104</v>
      </c>
      <c r="B18" s="77">
        <v>2026</v>
      </c>
      <c r="C18" s="14" t="s">
        <v>57</v>
      </c>
      <c r="D18" s="14" t="s">
        <v>132</v>
      </c>
      <c r="E18" s="15" t="s">
        <v>144</v>
      </c>
      <c r="F18" s="15" t="s">
        <v>145</v>
      </c>
      <c r="G18" s="14" t="s">
        <v>327</v>
      </c>
      <c r="H18" s="14">
        <v>12.25</v>
      </c>
      <c r="I18" s="16">
        <v>2569.2120971679701</v>
      </c>
      <c r="J18" s="16" t="s">
        <v>112</v>
      </c>
      <c r="K18" s="17">
        <v>3925</v>
      </c>
    </row>
    <row r="19" spans="1:11" x14ac:dyDescent="0.35">
      <c r="A19" s="77" t="s">
        <v>104</v>
      </c>
      <c r="B19" s="77">
        <v>2026</v>
      </c>
      <c r="C19" s="14" t="s">
        <v>57</v>
      </c>
      <c r="D19" s="14" t="s">
        <v>105</v>
      </c>
      <c r="E19" s="15" t="s">
        <v>146</v>
      </c>
      <c r="F19" s="15" t="s">
        <v>147</v>
      </c>
      <c r="G19" s="14" t="s">
        <v>327</v>
      </c>
      <c r="H19" s="14">
        <v>12.25</v>
      </c>
      <c r="I19" s="16">
        <v>1288.8328018188499</v>
      </c>
      <c r="J19" s="16" t="s">
        <v>108</v>
      </c>
      <c r="K19" s="17">
        <v>3925</v>
      </c>
    </row>
    <row r="20" spans="1:11" x14ac:dyDescent="0.35">
      <c r="A20" s="77" t="s">
        <v>104</v>
      </c>
      <c r="B20" s="77">
        <v>2026</v>
      </c>
      <c r="C20" s="14" t="s">
        <v>57</v>
      </c>
      <c r="D20" s="14" t="s">
        <v>116</v>
      </c>
      <c r="E20" s="15" t="s">
        <v>148</v>
      </c>
      <c r="F20" s="15" t="s">
        <v>149</v>
      </c>
      <c r="G20" s="14" t="s">
        <v>327</v>
      </c>
      <c r="H20" s="14">
        <v>12.25</v>
      </c>
      <c r="I20" s="16">
        <v>1053.2508068084701</v>
      </c>
      <c r="J20" s="16" t="s">
        <v>112</v>
      </c>
      <c r="K20" s="17">
        <v>3925</v>
      </c>
    </row>
    <row r="21" spans="1:11" x14ac:dyDescent="0.35">
      <c r="A21" s="77" t="s">
        <v>104</v>
      </c>
      <c r="B21" s="77">
        <v>2026</v>
      </c>
      <c r="C21" s="14" t="s">
        <v>60</v>
      </c>
      <c r="D21" s="14" t="s">
        <v>116</v>
      </c>
      <c r="E21" s="15" t="s">
        <v>150</v>
      </c>
      <c r="F21" s="15" t="s">
        <v>151</v>
      </c>
      <c r="G21" s="14" t="s">
        <v>327</v>
      </c>
      <c r="H21" s="14">
        <v>12.25</v>
      </c>
      <c r="I21" s="16">
        <v>1215.63663172722</v>
      </c>
      <c r="J21" s="16" t="s">
        <v>112</v>
      </c>
      <c r="K21" s="17">
        <v>3925</v>
      </c>
    </row>
    <row r="22" spans="1:11" x14ac:dyDescent="0.35">
      <c r="A22" s="77" t="s">
        <v>104</v>
      </c>
      <c r="B22" s="77">
        <v>2026</v>
      </c>
      <c r="C22" s="14" t="s">
        <v>60</v>
      </c>
      <c r="D22" s="14" t="s">
        <v>113</v>
      </c>
      <c r="E22" s="15" t="s">
        <v>152</v>
      </c>
      <c r="F22" s="15" t="s">
        <v>153</v>
      </c>
      <c r="G22" s="14" t="s">
        <v>327</v>
      </c>
      <c r="H22" s="14">
        <v>12.25</v>
      </c>
      <c r="I22" s="16">
        <v>1590.0145909786199</v>
      </c>
      <c r="J22" s="16" t="s">
        <v>112</v>
      </c>
      <c r="K22" s="17">
        <v>3925</v>
      </c>
    </row>
    <row r="23" spans="1:11" x14ac:dyDescent="0.35">
      <c r="A23" s="77" t="s">
        <v>104</v>
      </c>
      <c r="B23" s="77">
        <v>2026</v>
      </c>
      <c r="C23" s="14" t="s">
        <v>60</v>
      </c>
      <c r="D23" s="14" t="s">
        <v>132</v>
      </c>
      <c r="E23" s="15" t="s">
        <v>154</v>
      </c>
      <c r="F23" s="15" t="s">
        <v>155</v>
      </c>
      <c r="G23" s="14" t="s">
        <v>327</v>
      </c>
      <c r="H23" s="14">
        <v>12.25</v>
      </c>
      <c r="I23" s="16">
        <v>2425.14818954468</v>
      </c>
      <c r="J23" s="16" t="s">
        <v>112</v>
      </c>
      <c r="K23" s="17">
        <v>3925</v>
      </c>
    </row>
    <row r="24" spans="1:11" x14ac:dyDescent="0.35">
      <c r="A24" s="77" t="s">
        <v>104</v>
      </c>
      <c r="B24" s="77">
        <v>2026</v>
      </c>
      <c r="C24" s="14" t="s">
        <v>60</v>
      </c>
      <c r="D24" s="14" t="s">
        <v>156</v>
      </c>
      <c r="E24" s="15" t="s">
        <v>157</v>
      </c>
      <c r="F24" s="15" t="s">
        <v>158</v>
      </c>
      <c r="G24" s="14" t="s">
        <v>327</v>
      </c>
      <c r="H24" s="14">
        <v>12.25</v>
      </c>
      <c r="I24" s="16">
        <v>1486.1591291427601</v>
      </c>
      <c r="J24" s="16" t="s">
        <v>112</v>
      </c>
      <c r="K24" s="17">
        <v>3925</v>
      </c>
    </row>
    <row r="25" spans="1:11" x14ac:dyDescent="0.35">
      <c r="A25" s="77" t="s">
        <v>104</v>
      </c>
      <c r="B25" s="77">
        <v>2026</v>
      </c>
      <c r="C25" s="14" t="s">
        <v>60</v>
      </c>
      <c r="D25" s="14" t="s">
        <v>105</v>
      </c>
      <c r="E25" s="15" t="s">
        <v>159</v>
      </c>
      <c r="F25" s="15" t="s">
        <v>160</v>
      </c>
      <c r="G25" s="14" t="s">
        <v>327</v>
      </c>
      <c r="H25" s="14">
        <v>12.25</v>
      </c>
      <c r="I25" s="16">
        <v>2150.0240993499801</v>
      </c>
      <c r="J25" s="16" t="s">
        <v>108</v>
      </c>
      <c r="K25" s="17">
        <v>3925</v>
      </c>
    </row>
    <row r="26" spans="1:11" x14ac:dyDescent="0.35">
      <c r="A26" s="77" t="s">
        <v>104</v>
      </c>
      <c r="B26" s="77">
        <v>2026</v>
      </c>
      <c r="C26" s="14" t="s">
        <v>60</v>
      </c>
      <c r="D26" s="14" t="s">
        <v>105</v>
      </c>
      <c r="E26" s="15" t="s">
        <v>161</v>
      </c>
      <c r="F26" s="15" t="s">
        <v>162</v>
      </c>
      <c r="G26" s="14" t="s">
        <v>327</v>
      </c>
      <c r="H26" s="14">
        <v>12.25</v>
      </c>
      <c r="I26" s="16">
        <v>927.91119194030796</v>
      </c>
      <c r="J26" s="16" t="s">
        <v>108</v>
      </c>
      <c r="K26" s="17">
        <v>3925</v>
      </c>
    </row>
    <row r="27" spans="1:11" x14ac:dyDescent="0.35">
      <c r="A27" s="77" t="s">
        <v>104</v>
      </c>
      <c r="B27" s="77">
        <v>2026</v>
      </c>
      <c r="C27" s="14" t="s">
        <v>60</v>
      </c>
      <c r="D27" s="14" t="s">
        <v>105</v>
      </c>
      <c r="E27" s="15" t="s">
        <v>162</v>
      </c>
      <c r="F27" s="15" t="s">
        <v>163</v>
      </c>
      <c r="G27" s="14" t="s">
        <v>327</v>
      </c>
      <c r="H27" s="14">
        <v>12.25</v>
      </c>
      <c r="I27" s="16">
        <v>2004.8924055099501</v>
      </c>
      <c r="J27" s="16" t="s">
        <v>112</v>
      </c>
      <c r="K27" s="17">
        <v>3925</v>
      </c>
    </row>
    <row r="28" spans="1:11" x14ac:dyDescent="0.35">
      <c r="A28" s="77" t="s">
        <v>104</v>
      </c>
      <c r="B28" s="77">
        <v>2026</v>
      </c>
      <c r="C28" s="14" t="s">
        <v>60</v>
      </c>
      <c r="D28" s="14" t="s">
        <v>113</v>
      </c>
      <c r="E28" s="15" t="s">
        <v>164</v>
      </c>
      <c r="F28" s="15" t="s">
        <v>165</v>
      </c>
      <c r="G28" s="14" t="s">
        <v>327</v>
      </c>
      <c r="H28" s="14">
        <v>12.25</v>
      </c>
      <c r="I28" s="16">
        <v>673.34573602676403</v>
      </c>
      <c r="J28" s="16" t="s">
        <v>112</v>
      </c>
      <c r="K28" s="17">
        <v>3925</v>
      </c>
    </row>
    <row r="29" spans="1:11" x14ac:dyDescent="0.35">
      <c r="A29" s="77" t="s">
        <v>104</v>
      </c>
      <c r="B29" s="77">
        <v>2026</v>
      </c>
      <c r="C29" s="14" t="s">
        <v>60</v>
      </c>
      <c r="D29" s="14" t="s">
        <v>113</v>
      </c>
      <c r="E29" s="15" t="s">
        <v>166</v>
      </c>
      <c r="F29" s="15" t="s">
        <v>167</v>
      </c>
      <c r="G29" s="14" t="s">
        <v>327</v>
      </c>
      <c r="H29" s="14">
        <v>12.25</v>
      </c>
      <c r="I29" s="16">
        <v>1156.9959001541099</v>
      </c>
      <c r="J29" s="16" t="s">
        <v>168</v>
      </c>
      <c r="K29" s="17">
        <v>3925</v>
      </c>
    </row>
    <row r="30" spans="1:11" x14ac:dyDescent="0.35">
      <c r="A30" s="77" t="s">
        <v>104</v>
      </c>
      <c r="B30" s="77">
        <v>2026</v>
      </c>
      <c r="C30" s="14" t="s">
        <v>60</v>
      </c>
      <c r="D30" s="14" t="s">
        <v>113</v>
      </c>
      <c r="E30" s="15" t="s">
        <v>169</v>
      </c>
      <c r="F30" s="15" t="s">
        <v>170</v>
      </c>
      <c r="G30" s="14" t="s">
        <v>327</v>
      </c>
      <c r="H30" s="14">
        <v>12.25</v>
      </c>
      <c r="I30" s="16">
        <v>642.92270851135299</v>
      </c>
      <c r="J30" s="16" t="s">
        <v>171</v>
      </c>
      <c r="K30" s="17">
        <v>3925</v>
      </c>
    </row>
    <row r="31" spans="1:11" x14ac:dyDescent="0.35">
      <c r="A31" s="77" t="s">
        <v>104</v>
      </c>
      <c r="B31" s="77">
        <v>2026</v>
      </c>
      <c r="C31" s="14" t="s">
        <v>60</v>
      </c>
      <c r="D31" s="14" t="s">
        <v>105</v>
      </c>
      <c r="E31" s="15" t="s">
        <v>172</v>
      </c>
      <c r="F31" s="15" t="s">
        <v>173</v>
      </c>
      <c r="G31" s="14" t="s">
        <v>327</v>
      </c>
      <c r="H31" s="14">
        <v>12.25</v>
      </c>
      <c r="I31" s="16">
        <v>1844.0065641403201</v>
      </c>
      <c r="J31" s="16" t="s">
        <v>112</v>
      </c>
      <c r="K31" s="17">
        <v>3925</v>
      </c>
    </row>
    <row r="32" spans="1:11" x14ac:dyDescent="0.35">
      <c r="A32" s="77" t="s">
        <v>104</v>
      </c>
      <c r="B32" s="77">
        <v>2026</v>
      </c>
      <c r="C32" s="14" t="s">
        <v>60</v>
      </c>
      <c r="D32" s="14" t="s">
        <v>156</v>
      </c>
      <c r="E32" s="15" t="s">
        <v>174</v>
      </c>
      <c r="F32" s="15" t="s">
        <v>175</v>
      </c>
      <c r="G32" s="14" t="s">
        <v>327</v>
      </c>
      <c r="H32" s="14">
        <v>12.25</v>
      </c>
      <c r="I32" s="16">
        <v>1923.42625999451</v>
      </c>
      <c r="J32" s="16" t="s">
        <v>112</v>
      </c>
      <c r="K32" s="17">
        <v>3925</v>
      </c>
    </row>
    <row r="33" spans="1:11" x14ac:dyDescent="0.35">
      <c r="A33" s="77" t="s">
        <v>104</v>
      </c>
      <c r="B33" s="77">
        <v>2026</v>
      </c>
      <c r="C33" s="14" t="s">
        <v>60</v>
      </c>
      <c r="D33" s="14" t="s">
        <v>119</v>
      </c>
      <c r="E33" s="15" t="s">
        <v>176</v>
      </c>
      <c r="F33" s="15" t="s">
        <v>177</v>
      </c>
      <c r="G33" s="14" t="s">
        <v>327</v>
      </c>
      <c r="H33" s="14">
        <v>12.25</v>
      </c>
      <c r="I33" s="16">
        <v>2465.2286062240601</v>
      </c>
      <c r="J33" s="16" t="s">
        <v>112</v>
      </c>
      <c r="K33" s="17">
        <v>3925</v>
      </c>
    </row>
    <row r="34" spans="1:11" x14ac:dyDescent="0.35">
      <c r="A34" s="77" t="s">
        <v>104</v>
      </c>
      <c r="B34" s="77">
        <v>2026</v>
      </c>
      <c r="C34" s="14" t="s">
        <v>61</v>
      </c>
      <c r="D34" s="14" t="s">
        <v>113</v>
      </c>
      <c r="E34" s="15" t="s">
        <v>178</v>
      </c>
      <c r="F34" s="15" t="s">
        <v>179</v>
      </c>
      <c r="G34" s="14" t="s">
        <v>327</v>
      </c>
      <c r="H34" s="14">
        <v>12.25</v>
      </c>
      <c r="I34" s="16">
        <v>535.76422882080101</v>
      </c>
      <c r="J34" s="16" t="s">
        <v>108</v>
      </c>
      <c r="K34" s="17">
        <v>3925</v>
      </c>
    </row>
    <row r="35" spans="1:11" x14ac:dyDescent="0.35">
      <c r="A35" s="77" t="s">
        <v>104</v>
      </c>
      <c r="B35" s="77">
        <v>2026</v>
      </c>
      <c r="C35" s="14" t="s">
        <v>61</v>
      </c>
      <c r="D35" s="14" t="s">
        <v>132</v>
      </c>
      <c r="E35" s="15" t="s">
        <v>180</v>
      </c>
      <c r="F35" s="15" t="s">
        <v>181</v>
      </c>
      <c r="G35" s="14" t="s">
        <v>327</v>
      </c>
      <c r="H35" s="14">
        <v>12.25</v>
      </c>
      <c r="I35" s="16">
        <v>1794.7933940887499</v>
      </c>
      <c r="J35" s="16" t="s">
        <v>182</v>
      </c>
      <c r="K35" s="17">
        <v>3925</v>
      </c>
    </row>
    <row r="36" spans="1:11" x14ac:dyDescent="0.35">
      <c r="A36" s="77" t="s">
        <v>104</v>
      </c>
      <c r="B36" s="77">
        <v>2026</v>
      </c>
      <c r="C36" s="14" t="s">
        <v>61</v>
      </c>
      <c r="D36" s="14" t="s">
        <v>113</v>
      </c>
      <c r="E36" s="15" t="s">
        <v>183</v>
      </c>
      <c r="F36" s="15" t="s">
        <v>184</v>
      </c>
      <c r="G36" s="14" t="s">
        <v>327</v>
      </c>
      <c r="H36" s="14">
        <v>12.25</v>
      </c>
      <c r="I36" s="16">
        <v>2460.4806964397399</v>
      </c>
      <c r="J36" s="16" t="s">
        <v>108</v>
      </c>
      <c r="K36" s="17">
        <v>3925</v>
      </c>
    </row>
    <row r="37" spans="1:11" x14ac:dyDescent="0.35">
      <c r="A37" s="77" t="s">
        <v>104</v>
      </c>
      <c r="B37" s="77">
        <v>2026</v>
      </c>
      <c r="C37" s="14" t="s">
        <v>61</v>
      </c>
      <c r="D37" s="14" t="s">
        <v>156</v>
      </c>
      <c r="E37" s="15" t="s">
        <v>185</v>
      </c>
      <c r="F37" s="15" t="s">
        <v>186</v>
      </c>
      <c r="G37" s="14" t="s">
        <v>327</v>
      </c>
      <c r="H37" s="14">
        <v>12.25</v>
      </c>
      <c r="I37" s="16">
        <v>2531.18987131119</v>
      </c>
      <c r="J37" s="16" t="s">
        <v>112</v>
      </c>
      <c r="K37" s="17">
        <v>3925</v>
      </c>
    </row>
    <row r="38" spans="1:11" x14ac:dyDescent="0.35">
      <c r="A38" s="77" t="s">
        <v>104</v>
      </c>
      <c r="B38" s="77">
        <v>2026</v>
      </c>
      <c r="C38" s="14" t="s">
        <v>61</v>
      </c>
      <c r="D38" s="14" t="s">
        <v>116</v>
      </c>
      <c r="E38" s="15" t="s">
        <v>187</v>
      </c>
      <c r="F38" s="15" t="s">
        <v>188</v>
      </c>
      <c r="G38" s="14" t="s">
        <v>327</v>
      </c>
      <c r="H38" s="14">
        <v>12.25</v>
      </c>
      <c r="I38" s="16">
        <v>1762.25380325317</v>
      </c>
      <c r="J38" s="16" t="s">
        <v>112</v>
      </c>
      <c r="K38" s="17">
        <v>3925</v>
      </c>
    </row>
    <row r="39" spans="1:11" x14ac:dyDescent="0.35">
      <c r="A39" s="77" t="s">
        <v>104</v>
      </c>
      <c r="B39" s="77">
        <v>2026</v>
      </c>
      <c r="C39" s="14" t="s">
        <v>61</v>
      </c>
      <c r="D39" s="14" t="s">
        <v>132</v>
      </c>
      <c r="E39" s="15" t="s">
        <v>189</v>
      </c>
      <c r="F39" s="15" t="s">
        <v>190</v>
      </c>
      <c r="G39" s="14" t="s">
        <v>327</v>
      </c>
      <c r="H39" s="14">
        <v>12.25</v>
      </c>
      <c r="I39" s="16">
        <v>3053.7449970245402</v>
      </c>
      <c r="J39" s="16" t="s">
        <v>112</v>
      </c>
      <c r="K39" s="17">
        <v>3925</v>
      </c>
    </row>
    <row r="40" spans="1:11" x14ac:dyDescent="0.35">
      <c r="A40" s="77" t="s">
        <v>104</v>
      </c>
      <c r="B40" s="77">
        <v>2026</v>
      </c>
      <c r="C40" s="14" t="s">
        <v>61</v>
      </c>
      <c r="D40" s="14" t="s">
        <v>113</v>
      </c>
      <c r="E40" s="15" t="s">
        <v>191</v>
      </c>
      <c r="F40" s="15" t="s">
        <v>192</v>
      </c>
      <c r="G40" s="14" t="s">
        <v>327</v>
      </c>
      <c r="H40" s="14">
        <v>12.25</v>
      </c>
      <c r="I40" s="16">
        <v>1427.64</v>
      </c>
      <c r="J40" s="16" t="s">
        <v>112</v>
      </c>
      <c r="K40" s="17">
        <v>3925</v>
      </c>
    </row>
    <row r="41" spans="1:11" x14ac:dyDescent="0.35">
      <c r="A41" s="77" t="s">
        <v>104</v>
      </c>
      <c r="B41" s="77">
        <v>2026</v>
      </c>
      <c r="C41" s="14" t="s">
        <v>61</v>
      </c>
      <c r="D41" s="14" t="s">
        <v>105</v>
      </c>
      <c r="E41" s="15" t="s">
        <v>193</v>
      </c>
      <c r="F41" s="15" t="s">
        <v>194</v>
      </c>
      <c r="G41" s="14" t="s">
        <v>327</v>
      </c>
      <c r="H41" s="14">
        <v>12.25</v>
      </c>
      <c r="I41" s="16">
        <v>1004.0914587974499</v>
      </c>
      <c r="J41" s="16" t="s">
        <v>108</v>
      </c>
      <c r="K41" s="17">
        <v>3925</v>
      </c>
    </row>
    <row r="42" spans="1:11" x14ac:dyDescent="0.35">
      <c r="A42" s="77" t="s">
        <v>104</v>
      </c>
      <c r="B42" s="77">
        <v>2026</v>
      </c>
      <c r="C42" s="14" t="s">
        <v>61</v>
      </c>
      <c r="D42" s="14" t="s">
        <v>156</v>
      </c>
      <c r="E42" s="15" t="s">
        <v>195</v>
      </c>
      <c r="F42" s="15" t="s">
        <v>196</v>
      </c>
      <c r="G42" s="14" t="s">
        <v>327</v>
      </c>
      <c r="H42" s="14">
        <v>12.25</v>
      </c>
      <c r="I42" s="16">
        <v>2061.3289847373999</v>
      </c>
      <c r="J42" s="16" t="s">
        <v>112</v>
      </c>
      <c r="K42" s="17">
        <v>3925</v>
      </c>
    </row>
    <row r="43" spans="1:11" x14ac:dyDescent="0.35">
      <c r="A43" s="77" t="s">
        <v>104</v>
      </c>
      <c r="B43" s="77">
        <v>2026</v>
      </c>
      <c r="C43" s="14" t="s">
        <v>61</v>
      </c>
      <c r="D43" s="14" t="s">
        <v>132</v>
      </c>
      <c r="E43" s="15" t="s">
        <v>197</v>
      </c>
      <c r="F43" s="15" t="s">
        <v>198</v>
      </c>
      <c r="G43" s="14" t="s">
        <v>327</v>
      </c>
      <c r="H43" s="14">
        <v>12.25</v>
      </c>
      <c r="I43" s="16">
        <v>2455.90807819366</v>
      </c>
      <c r="J43" s="16" t="s">
        <v>112</v>
      </c>
      <c r="K43" s="17">
        <v>3925</v>
      </c>
    </row>
    <row r="44" spans="1:11" x14ac:dyDescent="0.35">
      <c r="A44" s="77" t="s">
        <v>104</v>
      </c>
      <c r="B44" s="77">
        <v>2026</v>
      </c>
      <c r="C44" s="14" t="s">
        <v>61</v>
      </c>
      <c r="D44" s="14" t="s">
        <v>119</v>
      </c>
      <c r="E44" s="15" t="s">
        <v>199</v>
      </c>
      <c r="F44" s="15" t="s">
        <v>200</v>
      </c>
      <c r="G44" s="14" t="s">
        <v>327</v>
      </c>
      <c r="H44" s="14">
        <v>12.25</v>
      </c>
      <c r="I44" s="16">
        <v>1622.7010946273799</v>
      </c>
      <c r="J44" s="16" t="s">
        <v>112</v>
      </c>
      <c r="K44" s="17">
        <v>3925</v>
      </c>
    </row>
    <row r="45" spans="1:11" x14ac:dyDescent="0.35">
      <c r="A45" s="77" t="s">
        <v>104</v>
      </c>
      <c r="B45" s="77">
        <v>2026</v>
      </c>
      <c r="C45" s="14" t="s">
        <v>61</v>
      </c>
      <c r="D45" s="14" t="s">
        <v>119</v>
      </c>
      <c r="E45" s="15" t="s">
        <v>201</v>
      </c>
      <c r="F45" s="15" t="s">
        <v>202</v>
      </c>
      <c r="G45" s="14" t="s">
        <v>327</v>
      </c>
      <c r="H45" s="14">
        <v>12.25</v>
      </c>
      <c r="I45" s="16">
        <v>1543.7731962204</v>
      </c>
      <c r="J45" s="16" t="s">
        <v>108</v>
      </c>
      <c r="K45" s="17">
        <v>3925</v>
      </c>
    </row>
    <row r="46" spans="1:11" x14ac:dyDescent="0.35">
      <c r="A46" s="77" t="s">
        <v>104</v>
      </c>
      <c r="B46" s="77">
        <v>2026</v>
      </c>
      <c r="C46" s="14" t="s">
        <v>62</v>
      </c>
      <c r="D46" s="14" t="s">
        <v>132</v>
      </c>
      <c r="E46" s="15" t="s">
        <v>203</v>
      </c>
      <c r="F46" s="15" t="s">
        <v>204</v>
      </c>
      <c r="G46" s="14" t="s">
        <v>327</v>
      </c>
      <c r="H46" s="14">
        <v>12.25</v>
      </c>
      <c r="I46" s="16">
        <v>2211.0787584781601</v>
      </c>
      <c r="J46" s="16" t="s">
        <v>112</v>
      </c>
      <c r="K46" s="17">
        <v>3925</v>
      </c>
    </row>
    <row r="47" spans="1:11" x14ac:dyDescent="0.35">
      <c r="A47" s="77" t="s">
        <v>104</v>
      </c>
      <c r="B47" s="77">
        <v>2026</v>
      </c>
      <c r="C47" s="14" t="s">
        <v>62</v>
      </c>
      <c r="D47" s="14" t="s">
        <v>156</v>
      </c>
      <c r="E47" s="15" t="s">
        <v>205</v>
      </c>
      <c r="F47" s="15" t="s">
        <v>206</v>
      </c>
      <c r="G47" s="14" t="s">
        <v>327</v>
      </c>
      <c r="H47" s="14">
        <v>12.25</v>
      </c>
      <c r="I47" s="16">
        <v>2950.45726776123</v>
      </c>
      <c r="J47" s="16" t="s">
        <v>112</v>
      </c>
      <c r="K47" s="17">
        <v>3925</v>
      </c>
    </row>
    <row r="48" spans="1:11" x14ac:dyDescent="0.35">
      <c r="A48" s="77" t="s">
        <v>104</v>
      </c>
      <c r="B48" s="77">
        <v>2026</v>
      </c>
      <c r="C48" s="14" t="s">
        <v>62</v>
      </c>
      <c r="D48" s="14" t="s">
        <v>113</v>
      </c>
      <c r="E48" s="15" t="s">
        <v>207</v>
      </c>
      <c r="F48" s="15" t="s">
        <v>208</v>
      </c>
      <c r="G48" s="14" t="s">
        <v>327</v>
      </c>
      <c r="H48" s="14">
        <v>12.25</v>
      </c>
      <c r="I48" s="16">
        <v>1442.1196985244801</v>
      </c>
      <c r="J48" s="16" t="s">
        <v>108</v>
      </c>
      <c r="K48" s="17">
        <v>3925</v>
      </c>
    </row>
    <row r="49" spans="1:11" x14ac:dyDescent="0.35">
      <c r="A49" s="77" t="s">
        <v>104</v>
      </c>
      <c r="B49" s="77">
        <v>2026</v>
      </c>
      <c r="C49" s="14" t="s">
        <v>62</v>
      </c>
      <c r="D49" s="14" t="s">
        <v>209</v>
      </c>
      <c r="E49" s="15" t="s">
        <v>210</v>
      </c>
      <c r="F49" s="15" t="s">
        <v>211</v>
      </c>
      <c r="G49" s="14" t="s">
        <v>327</v>
      </c>
      <c r="H49" s="14">
        <v>12.25</v>
      </c>
      <c r="I49" s="16">
        <v>1331.81799888611</v>
      </c>
      <c r="J49" s="16" t="s">
        <v>108</v>
      </c>
      <c r="K49" s="17">
        <v>3925</v>
      </c>
    </row>
    <row r="50" spans="1:11" x14ac:dyDescent="0.35">
      <c r="A50" s="77" t="s">
        <v>104</v>
      </c>
      <c r="B50" s="77">
        <v>2026</v>
      </c>
      <c r="C50" s="14" t="s">
        <v>62</v>
      </c>
      <c r="D50" s="14" t="s">
        <v>113</v>
      </c>
      <c r="E50" s="15" t="s">
        <v>208</v>
      </c>
      <c r="F50" s="15" t="s">
        <v>212</v>
      </c>
      <c r="G50" s="14" t="s">
        <v>327</v>
      </c>
      <c r="H50" s="14">
        <v>12.25</v>
      </c>
      <c r="I50" s="16">
        <v>2233.8189926147502</v>
      </c>
      <c r="J50" s="16" t="s">
        <v>112</v>
      </c>
      <c r="K50" s="17">
        <v>3925</v>
      </c>
    </row>
    <row r="51" spans="1:11" x14ac:dyDescent="0.35">
      <c r="A51" s="77" t="s">
        <v>104</v>
      </c>
      <c r="B51" s="77">
        <v>2026</v>
      </c>
      <c r="C51" s="14" t="s">
        <v>62</v>
      </c>
      <c r="D51" s="14" t="s">
        <v>119</v>
      </c>
      <c r="E51" s="15" t="s">
        <v>213</v>
      </c>
      <c r="F51" s="15" t="s">
        <v>214</v>
      </c>
      <c r="G51" s="14" t="s">
        <v>327</v>
      </c>
      <c r="H51" s="14">
        <v>12.25</v>
      </c>
      <c r="I51" s="16">
        <v>2442.6069993972801</v>
      </c>
      <c r="J51" s="16" t="s">
        <v>112</v>
      </c>
      <c r="K51" s="17">
        <v>3925</v>
      </c>
    </row>
    <row r="52" spans="1:11" x14ac:dyDescent="0.35">
      <c r="A52" s="77" t="s">
        <v>104</v>
      </c>
      <c r="B52" s="77">
        <v>2026</v>
      </c>
      <c r="C52" s="14" t="s">
        <v>62</v>
      </c>
      <c r="D52" s="14" t="s">
        <v>156</v>
      </c>
      <c r="E52" s="15" t="s">
        <v>215</v>
      </c>
      <c r="F52" s="15" t="s">
        <v>216</v>
      </c>
      <c r="G52" s="14" t="s">
        <v>327</v>
      </c>
      <c r="H52" s="14">
        <v>12.25</v>
      </c>
      <c r="I52" s="16">
        <v>1613.58781576157</v>
      </c>
      <c r="J52" s="16" t="s">
        <v>112</v>
      </c>
      <c r="K52" s="17">
        <v>3925</v>
      </c>
    </row>
    <row r="53" spans="1:11" x14ac:dyDescent="0.35">
      <c r="A53" s="77" t="s">
        <v>104</v>
      </c>
      <c r="B53" s="77">
        <v>2026</v>
      </c>
      <c r="C53" s="14" t="s">
        <v>62</v>
      </c>
      <c r="D53" s="14" t="s">
        <v>113</v>
      </c>
      <c r="E53" s="15" t="s">
        <v>217</v>
      </c>
      <c r="F53" s="15" t="s">
        <v>218</v>
      </c>
      <c r="G53" s="14" t="s">
        <v>327</v>
      </c>
      <c r="H53" s="14">
        <v>12.25</v>
      </c>
      <c r="I53" s="16">
        <v>1573.94799518585</v>
      </c>
      <c r="J53" s="16" t="s">
        <v>112</v>
      </c>
      <c r="K53" s="17">
        <v>3925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B6B9-A9B3-4B49-9678-7037A2C239C6}">
  <sheetPr>
    <pageSetUpPr fitToPage="1"/>
  </sheetPr>
  <dimension ref="A1:W48"/>
  <sheetViews>
    <sheetView zoomScale="110" zoomScaleNormal="110" workbookViewId="0">
      <pane ySplit="4" topLeftCell="A28" activePane="bottomLeft" state="frozen"/>
      <selection pane="bottomLeft" activeCell="L14" sqref="L14"/>
    </sheetView>
  </sheetViews>
  <sheetFormatPr defaultColWidth="9.36328125" defaultRowHeight="13" x14ac:dyDescent="0.3"/>
  <cols>
    <col min="1" max="1" width="20.54296875" style="47" customWidth="1"/>
    <col min="2" max="2" width="7.36328125" style="49" bestFit="1" customWidth="1"/>
    <col min="3" max="3" width="8.453125" style="49" bestFit="1" customWidth="1"/>
    <col min="4" max="5" width="9.54296875" style="49" customWidth="1"/>
    <col min="6" max="7" width="7.453125" style="47" bestFit="1" customWidth="1"/>
    <col min="8" max="8" width="18.6328125" style="68" customWidth="1"/>
    <col min="9" max="9" width="7.6328125" style="49" customWidth="1"/>
    <col min="10" max="10" width="7.453125" style="47" customWidth="1"/>
    <col min="11" max="11" width="7.6328125" style="47" bestFit="1" customWidth="1"/>
    <col min="12" max="12" width="6.6328125" style="47" bestFit="1" customWidth="1"/>
    <col min="13" max="13" width="9.54296875" style="47" bestFit="1" customWidth="1"/>
    <col min="14" max="14" width="2.6328125" style="47" customWidth="1"/>
    <col min="15" max="15" width="16.36328125" style="49" bestFit="1" customWidth="1"/>
    <col min="16" max="16" width="8.54296875" style="47" bestFit="1" customWidth="1"/>
    <col min="17" max="17" width="10" style="47" bestFit="1" customWidth="1"/>
    <col min="18" max="19" width="9.54296875" style="47" bestFit="1" customWidth="1"/>
    <col min="20" max="21" width="7.36328125" style="47" bestFit="1" customWidth="1"/>
    <col min="22" max="22" width="7.36328125" style="47" customWidth="1"/>
    <col min="23" max="23" width="6.36328125" style="47" bestFit="1" customWidth="1"/>
    <col min="24" max="24" width="6.54296875" style="47" bestFit="1" customWidth="1"/>
    <col min="25" max="25" width="6.36328125" style="47" bestFit="1" customWidth="1"/>
    <col min="26" max="26" width="7.36328125" style="47" customWidth="1"/>
    <col min="27" max="16384" width="9.36328125" style="47"/>
  </cols>
  <sheetData>
    <row r="1" spans="1:23" x14ac:dyDescent="0.3">
      <c r="A1" s="44"/>
      <c r="B1" s="45"/>
      <c r="C1" s="45"/>
      <c r="D1" s="45"/>
      <c r="E1" s="45"/>
      <c r="F1" s="44"/>
      <c r="G1" s="44"/>
      <c r="H1" s="46"/>
      <c r="I1" s="45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</row>
    <row r="2" spans="1:23" ht="16" x14ac:dyDescent="0.4">
      <c r="A2" s="48" t="s">
        <v>219</v>
      </c>
      <c r="B2" s="45"/>
      <c r="C2" s="45"/>
      <c r="D2" s="45"/>
      <c r="E2" s="45"/>
      <c r="F2" s="45"/>
      <c r="G2" s="45"/>
      <c r="H2" s="46"/>
      <c r="I2" s="45"/>
      <c r="O2" s="44"/>
      <c r="P2" s="44"/>
      <c r="Q2" s="44"/>
      <c r="R2" s="44"/>
      <c r="S2" s="44"/>
      <c r="T2" s="44"/>
      <c r="U2" s="44"/>
      <c r="V2" s="44"/>
      <c r="W2" s="44"/>
    </row>
    <row r="3" spans="1:23" x14ac:dyDescent="0.3">
      <c r="A3" s="44"/>
      <c r="B3" s="45"/>
      <c r="C3" s="45"/>
      <c r="D3" s="45"/>
      <c r="E3" s="45"/>
      <c r="F3" s="44"/>
      <c r="G3" s="44"/>
      <c r="H3" s="46"/>
      <c r="I3" s="45"/>
    </row>
    <row r="4" spans="1:23" s="57" customFormat="1" ht="26" x14ac:dyDescent="0.3">
      <c r="A4" s="50" t="s">
        <v>220</v>
      </c>
      <c r="B4" s="51" t="s">
        <v>221</v>
      </c>
      <c r="C4" s="51" t="s">
        <v>222</v>
      </c>
      <c r="D4" s="51" t="s">
        <v>223</v>
      </c>
      <c r="E4" s="51" t="s">
        <v>224</v>
      </c>
      <c r="F4" s="52" t="s">
        <v>225</v>
      </c>
      <c r="G4" s="51" t="s">
        <v>226</v>
      </c>
      <c r="H4" s="53" t="s">
        <v>228</v>
      </c>
      <c r="I4" s="54" t="s">
        <v>229</v>
      </c>
      <c r="J4" s="51" t="s">
        <v>230</v>
      </c>
      <c r="K4" s="51" t="s">
        <v>231</v>
      </c>
      <c r="L4" s="55" t="s">
        <v>232</v>
      </c>
      <c r="M4" s="56" t="s">
        <v>233</v>
      </c>
    </row>
    <row r="5" spans="1:23" x14ac:dyDescent="0.3">
      <c r="A5" s="58" t="s">
        <v>234</v>
      </c>
      <c r="B5" s="59">
        <v>67</v>
      </c>
      <c r="C5" s="60">
        <v>4</v>
      </c>
      <c r="D5" s="61">
        <v>46019</v>
      </c>
      <c r="E5" s="61">
        <v>46025</v>
      </c>
      <c r="F5" s="62">
        <v>7568</v>
      </c>
      <c r="G5" s="62">
        <f>F5/J5</f>
        <v>2271.5357678839418</v>
      </c>
      <c r="H5" s="63"/>
      <c r="I5" s="64">
        <v>444</v>
      </c>
      <c r="J5" s="65">
        <f>IF(L5="","",L5/60)</f>
        <v>3.3316666666666666</v>
      </c>
      <c r="K5" s="65">
        <f>IF(G5="","",(G5/60))</f>
        <v>37.858929464732363</v>
      </c>
      <c r="L5" s="66">
        <v>199.9</v>
      </c>
      <c r="M5" s="64">
        <v>3439</v>
      </c>
    </row>
    <row r="6" spans="1:23" x14ac:dyDescent="0.3">
      <c r="A6" s="58" t="s">
        <v>234</v>
      </c>
      <c r="B6" s="59">
        <v>67</v>
      </c>
      <c r="C6" s="60">
        <v>5</v>
      </c>
      <c r="D6" s="61">
        <v>46016</v>
      </c>
      <c r="E6" s="61">
        <v>46026</v>
      </c>
      <c r="F6" s="62">
        <v>7269</v>
      </c>
      <c r="G6" s="62">
        <f>F6/J6</f>
        <v>2952.8774542992555</v>
      </c>
      <c r="H6" s="63"/>
      <c r="I6" s="64">
        <v>444</v>
      </c>
      <c r="J6" s="65">
        <f t="shared" ref="J6:J48" si="0">IF(L6="","",L6/60)</f>
        <v>2.4616666666666664</v>
      </c>
      <c r="K6" s="65">
        <f>IF(G6="","",(G6/60))</f>
        <v>49.214624238320923</v>
      </c>
      <c r="L6" s="66">
        <v>147.69999999999999</v>
      </c>
      <c r="M6" s="64">
        <v>3439</v>
      </c>
    </row>
    <row r="7" spans="1:23" x14ac:dyDescent="0.3">
      <c r="A7" s="58" t="s">
        <v>234</v>
      </c>
      <c r="B7" s="59">
        <v>67</v>
      </c>
      <c r="C7" s="60">
        <v>6</v>
      </c>
      <c r="D7" s="61">
        <v>46018</v>
      </c>
      <c r="E7" s="61">
        <v>46026</v>
      </c>
      <c r="F7" s="62">
        <v>3126</v>
      </c>
      <c r="G7" s="62">
        <f>F7/J7</f>
        <v>1217.9220779220777</v>
      </c>
      <c r="H7" s="63" t="s">
        <v>235</v>
      </c>
      <c r="I7" s="64">
        <v>444</v>
      </c>
      <c r="J7" s="65">
        <f t="shared" si="0"/>
        <v>2.5666666666666669</v>
      </c>
      <c r="K7" s="65">
        <f>IF(G7="","",(G7/60))</f>
        <v>20.298701298701296</v>
      </c>
      <c r="L7" s="66">
        <v>154</v>
      </c>
      <c r="M7" s="64">
        <v>3439</v>
      </c>
    </row>
    <row r="8" spans="1:23" x14ac:dyDescent="0.3">
      <c r="A8" s="58" t="s">
        <v>234</v>
      </c>
      <c r="B8" s="59">
        <v>67</v>
      </c>
      <c r="C8" s="60">
        <v>4</v>
      </c>
      <c r="D8" s="61">
        <v>46025</v>
      </c>
      <c r="E8" s="61">
        <v>46034</v>
      </c>
      <c r="F8" s="62">
        <v>6580</v>
      </c>
      <c r="G8" s="62">
        <f>F8/J8</f>
        <v>2720.8821502412129</v>
      </c>
      <c r="H8" s="63"/>
      <c r="I8" s="64">
        <v>444</v>
      </c>
      <c r="J8" s="65">
        <f>IF(L8="","",L8/60)</f>
        <v>2.4183333333333334</v>
      </c>
      <c r="K8" s="65">
        <f>IF(G8="","",(G8/60))</f>
        <v>45.348035837353549</v>
      </c>
      <c r="L8" s="66">
        <v>145.1</v>
      </c>
      <c r="M8" s="64">
        <v>3439</v>
      </c>
    </row>
    <row r="9" spans="1:23" x14ac:dyDescent="0.3">
      <c r="A9" s="58" t="s">
        <v>234</v>
      </c>
      <c r="B9" s="59">
        <v>67</v>
      </c>
      <c r="C9" s="60">
        <v>6</v>
      </c>
      <c r="D9" s="61">
        <v>46026</v>
      </c>
      <c r="E9" s="61">
        <v>46035</v>
      </c>
      <c r="F9" s="62">
        <v>6642</v>
      </c>
      <c r="G9" s="62">
        <f>F9/J9</f>
        <v>2356.7120047309286</v>
      </c>
      <c r="H9" s="63"/>
      <c r="I9" s="64">
        <v>444</v>
      </c>
      <c r="J9" s="65">
        <f t="shared" si="0"/>
        <v>2.8183333333333334</v>
      </c>
      <c r="K9" s="65">
        <f>IF(G9="","",(G9/60))</f>
        <v>39.278533412182142</v>
      </c>
      <c r="L9" s="66">
        <v>169.1</v>
      </c>
      <c r="M9" s="64">
        <v>3439</v>
      </c>
    </row>
    <row r="10" spans="1:23" x14ac:dyDescent="0.3">
      <c r="A10" s="58" t="s">
        <v>234</v>
      </c>
      <c r="B10" s="59">
        <v>67</v>
      </c>
      <c r="C10" s="60">
        <v>4</v>
      </c>
      <c r="D10" s="61">
        <v>46034</v>
      </c>
      <c r="E10" s="61">
        <v>46044</v>
      </c>
      <c r="F10" s="62">
        <v>7036</v>
      </c>
      <c r="G10" s="62">
        <f>F10/J10</f>
        <v>2170.4884318766067</v>
      </c>
      <c r="H10" s="63"/>
      <c r="I10" s="64">
        <v>444</v>
      </c>
      <c r="J10" s="65">
        <f t="shared" si="0"/>
        <v>3.2416666666666667</v>
      </c>
      <c r="K10" s="65">
        <f>IF(G10="","",(G10/60))</f>
        <v>36.174807197943444</v>
      </c>
      <c r="L10" s="66">
        <v>194.5</v>
      </c>
      <c r="M10" s="64">
        <v>3439</v>
      </c>
    </row>
    <row r="11" spans="1:23" x14ac:dyDescent="0.3">
      <c r="A11" s="58" t="s">
        <v>234</v>
      </c>
      <c r="B11" s="59">
        <v>67</v>
      </c>
      <c r="C11" s="60">
        <v>6</v>
      </c>
      <c r="D11" s="61">
        <v>46035</v>
      </c>
      <c r="E11" s="61">
        <v>46046</v>
      </c>
      <c r="F11" s="62">
        <v>8434</v>
      </c>
      <c r="G11" s="62">
        <f>F11/J11</f>
        <v>3538.7412587412587</v>
      </c>
      <c r="H11" s="63"/>
      <c r="I11" s="64">
        <v>444</v>
      </c>
      <c r="J11" s="65">
        <f t="shared" si="0"/>
        <v>2.3833333333333333</v>
      </c>
      <c r="K11" s="65">
        <f>IF(G11="","",(G11/60))</f>
        <v>58.97902097902098</v>
      </c>
      <c r="L11" s="66">
        <v>143</v>
      </c>
      <c r="M11" s="64">
        <v>3439</v>
      </c>
    </row>
    <row r="12" spans="1:23" x14ac:dyDescent="0.3">
      <c r="A12" s="58" t="s">
        <v>234</v>
      </c>
      <c r="B12" s="59">
        <v>67</v>
      </c>
      <c r="C12" s="60">
        <v>3</v>
      </c>
      <c r="D12" s="61">
        <v>45972</v>
      </c>
      <c r="E12" s="61">
        <v>46060</v>
      </c>
      <c r="F12" s="62">
        <v>8547</v>
      </c>
      <c r="G12" s="62">
        <f>F12/J12</f>
        <v>2566.6666666666665</v>
      </c>
      <c r="H12" s="63"/>
      <c r="I12" s="64">
        <v>444</v>
      </c>
      <c r="J12" s="65">
        <f t="shared" si="0"/>
        <v>3.33</v>
      </c>
      <c r="K12" s="65">
        <f>IF(G12="","",(G12/60))</f>
        <v>42.777777777777779</v>
      </c>
      <c r="L12" s="66">
        <v>199.8</v>
      </c>
      <c r="M12" s="64">
        <v>3439</v>
      </c>
      <c r="O12" s="47"/>
      <c r="V12" s="44"/>
    </row>
    <row r="13" spans="1:23" x14ac:dyDescent="0.3">
      <c r="A13" s="58" t="s">
        <v>234</v>
      </c>
      <c r="B13" s="59">
        <v>67</v>
      </c>
      <c r="C13" s="60">
        <v>6</v>
      </c>
      <c r="D13" s="61">
        <v>46046</v>
      </c>
      <c r="E13" s="61">
        <v>46061</v>
      </c>
      <c r="F13" s="62">
        <v>9758</v>
      </c>
      <c r="G13" s="62">
        <f>F13/J13</f>
        <v>2982.5776872134484</v>
      </c>
      <c r="H13" s="63"/>
      <c r="I13" s="64">
        <v>444</v>
      </c>
      <c r="J13" s="65">
        <f t="shared" si="0"/>
        <v>3.2716666666666669</v>
      </c>
      <c r="K13" s="65">
        <f>IF(G13="","",(G13/60))</f>
        <v>49.709628120224139</v>
      </c>
      <c r="L13" s="66">
        <v>196.3</v>
      </c>
      <c r="M13" s="64">
        <v>3439</v>
      </c>
      <c r="O13" s="47"/>
      <c r="V13" s="44"/>
    </row>
    <row r="14" spans="1:23" x14ac:dyDescent="0.3">
      <c r="A14" s="58" t="s">
        <v>234</v>
      </c>
      <c r="B14" s="59">
        <v>67</v>
      </c>
      <c r="C14" s="60">
        <v>4</v>
      </c>
      <c r="D14" s="61">
        <v>46044</v>
      </c>
      <c r="E14" s="61">
        <v>46069</v>
      </c>
      <c r="F14" s="62">
        <v>10223</v>
      </c>
      <c r="G14" s="62">
        <f>F14/J14</f>
        <v>3967.5291073738681</v>
      </c>
      <c r="H14" s="63"/>
      <c r="I14" s="64">
        <v>444</v>
      </c>
      <c r="J14" s="65">
        <f t="shared" si="0"/>
        <v>2.5766666666666667</v>
      </c>
      <c r="K14" s="65">
        <f>IF(G14="","",(G14/60))</f>
        <v>66.1254851228978</v>
      </c>
      <c r="L14" s="66">
        <v>154.6</v>
      </c>
      <c r="M14" s="64">
        <v>3439</v>
      </c>
    </row>
    <row r="15" spans="1:23" x14ac:dyDescent="0.3">
      <c r="A15" s="58" t="s">
        <v>234</v>
      </c>
      <c r="B15" s="59">
        <v>67</v>
      </c>
      <c r="C15" s="60">
        <v>6</v>
      </c>
      <c r="D15" s="61">
        <v>46061</v>
      </c>
      <c r="E15" s="61">
        <v>46069</v>
      </c>
      <c r="F15" s="62">
        <v>8286</v>
      </c>
      <c r="G15" s="62">
        <f>F15/J15</f>
        <v>3305.5851063829787</v>
      </c>
      <c r="H15" s="63"/>
      <c r="I15" s="64">
        <v>444</v>
      </c>
      <c r="J15" s="65">
        <f t="shared" si="0"/>
        <v>2.5066666666666668</v>
      </c>
      <c r="K15" s="65">
        <f>IF(G15="","",(G15/60))</f>
        <v>55.093085106382979</v>
      </c>
      <c r="L15" s="66">
        <v>150.4</v>
      </c>
      <c r="M15" s="64">
        <v>3439</v>
      </c>
    </row>
    <row r="16" spans="1:23" x14ac:dyDescent="0.3">
      <c r="A16" s="58" t="s">
        <v>234</v>
      </c>
      <c r="B16" s="59">
        <v>67</v>
      </c>
      <c r="C16" s="60">
        <v>6</v>
      </c>
      <c r="D16" s="61">
        <v>46069</v>
      </c>
      <c r="E16" s="61">
        <v>46079</v>
      </c>
      <c r="F16" s="62">
        <v>6293</v>
      </c>
      <c r="G16" s="62">
        <f>F16/J16</f>
        <v>2185.0694444444443</v>
      </c>
      <c r="H16" s="63"/>
      <c r="I16" s="64">
        <v>444</v>
      </c>
      <c r="J16" s="65">
        <f t="shared" si="0"/>
        <v>2.8800000000000003</v>
      </c>
      <c r="K16" s="65">
        <f>IF(G16="","",(G16/60))</f>
        <v>36.417824074074069</v>
      </c>
      <c r="L16" s="66">
        <v>172.8</v>
      </c>
      <c r="M16" s="64">
        <v>3439</v>
      </c>
    </row>
    <row r="17" spans="1:13" x14ac:dyDescent="0.3">
      <c r="A17" s="58" t="s">
        <v>234</v>
      </c>
      <c r="B17" s="59">
        <v>67</v>
      </c>
      <c r="C17" s="60">
        <v>5</v>
      </c>
      <c r="D17" s="61">
        <v>46026</v>
      </c>
      <c r="E17" s="61">
        <v>46080</v>
      </c>
      <c r="F17" s="62">
        <v>7630</v>
      </c>
      <c r="G17" s="62">
        <f>F17/J17</f>
        <v>2467.9245283018868</v>
      </c>
      <c r="H17" s="63"/>
      <c r="I17" s="64">
        <v>444</v>
      </c>
      <c r="J17" s="65">
        <f t="shared" si="0"/>
        <v>3.0916666666666668</v>
      </c>
      <c r="K17" s="65">
        <f>IF(G17="","",(G17/60))</f>
        <v>41.132075471698116</v>
      </c>
      <c r="L17" s="66">
        <v>185.5</v>
      </c>
      <c r="M17" s="64">
        <v>3439</v>
      </c>
    </row>
    <row r="18" spans="1:13" x14ac:dyDescent="0.3">
      <c r="A18" s="58" t="s">
        <v>234</v>
      </c>
      <c r="B18" s="59">
        <v>67</v>
      </c>
      <c r="C18" s="60">
        <v>3</v>
      </c>
      <c r="D18" s="61">
        <v>46060</v>
      </c>
      <c r="E18" s="61">
        <v>46084</v>
      </c>
      <c r="F18" s="62">
        <v>7556</v>
      </c>
      <c r="G18" s="62">
        <f>F18/J18</f>
        <v>2766.0768761439899</v>
      </c>
      <c r="H18" s="63"/>
      <c r="I18" s="64">
        <v>444</v>
      </c>
      <c r="J18" s="65">
        <f t="shared" si="0"/>
        <v>2.7316666666666669</v>
      </c>
      <c r="K18" s="65">
        <f>IF(G18="","",(G18/60))</f>
        <v>46.101281269066497</v>
      </c>
      <c r="L18" s="66">
        <v>163.9</v>
      </c>
      <c r="M18" s="64">
        <v>3439</v>
      </c>
    </row>
    <row r="19" spans="1:13" x14ac:dyDescent="0.3">
      <c r="A19" s="58" t="s">
        <v>234</v>
      </c>
      <c r="B19" s="59">
        <v>67</v>
      </c>
      <c r="C19" s="60">
        <v>4</v>
      </c>
      <c r="D19" s="61">
        <v>46069</v>
      </c>
      <c r="E19" s="61">
        <v>46088</v>
      </c>
      <c r="F19" s="62">
        <v>5744</v>
      </c>
      <c r="G19" s="62">
        <f>F19/J19</f>
        <v>2636.8783473603676</v>
      </c>
      <c r="H19" s="63"/>
      <c r="I19" s="64">
        <v>444</v>
      </c>
      <c r="J19" s="65">
        <f t="shared" si="0"/>
        <v>2.1783333333333332</v>
      </c>
      <c r="K19" s="65">
        <f>IF(G19="","",(G19/60))</f>
        <v>43.947972456006127</v>
      </c>
      <c r="L19" s="66">
        <v>130.69999999999999</v>
      </c>
      <c r="M19" s="64">
        <v>3439</v>
      </c>
    </row>
    <row r="20" spans="1:13" x14ac:dyDescent="0.3">
      <c r="A20" s="58" t="s">
        <v>234</v>
      </c>
      <c r="B20" s="59">
        <v>67</v>
      </c>
      <c r="C20" s="60">
        <v>6</v>
      </c>
      <c r="D20" s="61">
        <v>46079</v>
      </c>
      <c r="E20" s="61">
        <v>46093</v>
      </c>
      <c r="F20" s="62">
        <v>7701</v>
      </c>
      <c r="G20" s="62">
        <f>F20/J20</f>
        <v>3395.0036737692876</v>
      </c>
      <c r="H20" s="63"/>
      <c r="I20" s="64">
        <v>444</v>
      </c>
      <c r="J20" s="65">
        <f t="shared" si="0"/>
        <v>2.2683333333333331</v>
      </c>
      <c r="K20" s="65">
        <f>IF(G20="","",(G20/60))</f>
        <v>56.583394562821461</v>
      </c>
      <c r="L20" s="66">
        <v>136.1</v>
      </c>
      <c r="M20" s="64">
        <v>3439</v>
      </c>
    </row>
    <row r="21" spans="1:13" x14ac:dyDescent="0.3">
      <c r="A21" s="58" t="s">
        <v>234</v>
      </c>
      <c r="B21" s="59">
        <v>67</v>
      </c>
      <c r="C21" s="60">
        <v>3</v>
      </c>
      <c r="D21" s="61">
        <v>46084</v>
      </c>
      <c r="E21" s="61">
        <v>46097</v>
      </c>
      <c r="F21" s="62">
        <v>7433</v>
      </c>
      <c r="G21" s="62">
        <f>F21/J21</f>
        <v>2849.7124600638977</v>
      </c>
      <c r="H21" s="63"/>
      <c r="I21" s="64">
        <v>444</v>
      </c>
      <c r="J21" s="65">
        <f t="shared" si="0"/>
        <v>2.6083333333333334</v>
      </c>
      <c r="K21" s="65">
        <f>IF(G21="","",(G21/60))</f>
        <v>47.495207667731627</v>
      </c>
      <c r="L21" s="66">
        <v>156.5</v>
      </c>
      <c r="M21" s="64">
        <v>3439</v>
      </c>
    </row>
    <row r="22" spans="1:13" x14ac:dyDescent="0.3">
      <c r="A22" s="58" t="s">
        <v>234</v>
      </c>
      <c r="B22" s="59">
        <v>67</v>
      </c>
      <c r="C22" s="60">
        <v>5</v>
      </c>
      <c r="D22" s="61">
        <v>46080</v>
      </c>
      <c r="E22" s="61">
        <v>46099</v>
      </c>
      <c r="F22" s="62">
        <v>7101</v>
      </c>
      <c r="G22" s="62">
        <f>F22/J22</f>
        <v>3186.6866118175021</v>
      </c>
      <c r="H22" s="63"/>
      <c r="I22" s="64">
        <v>444</v>
      </c>
      <c r="J22" s="65">
        <f t="shared" si="0"/>
        <v>2.2283333333333331</v>
      </c>
      <c r="K22" s="65">
        <f>IF(G22="","",(G22/60))</f>
        <v>53.111443530291702</v>
      </c>
      <c r="L22" s="66">
        <v>133.69999999999999</v>
      </c>
      <c r="M22" s="64">
        <v>3439</v>
      </c>
    </row>
    <row r="23" spans="1:13" x14ac:dyDescent="0.3">
      <c r="A23" s="58" t="s">
        <v>234</v>
      </c>
      <c r="B23" s="59">
        <v>67</v>
      </c>
      <c r="C23" s="60">
        <v>5</v>
      </c>
      <c r="D23" s="61">
        <v>46099</v>
      </c>
      <c r="E23" s="61">
        <v>46106</v>
      </c>
      <c r="F23" s="62">
        <v>1448</v>
      </c>
      <c r="G23" s="62">
        <f>F23/J23</f>
        <v>747.0335339638865</v>
      </c>
      <c r="H23" s="63" t="s">
        <v>236</v>
      </c>
      <c r="I23" s="64">
        <v>444</v>
      </c>
      <c r="J23" s="65">
        <f t="shared" si="0"/>
        <v>1.9383333333333332</v>
      </c>
      <c r="K23" s="65">
        <f>IF(G23="","",(G23/60))</f>
        <v>12.450558899398109</v>
      </c>
      <c r="L23" s="66">
        <v>116.3</v>
      </c>
      <c r="M23" s="64">
        <v>3439</v>
      </c>
    </row>
    <row r="24" spans="1:13" x14ac:dyDescent="0.3">
      <c r="A24" s="58" t="s">
        <v>234</v>
      </c>
      <c r="B24" s="59">
        <v>67</v>
      </c>
      <c r="C24" s="60">
        <v>6</v>
      </c>
      <c r="D24" s="61">
        <v>46093</v>
      </c>
      <c r="E24" s="61">
        <v>46107</v>
      </c>
      <c r="F24" s="62">
        <v>5743</v>
      </c>
      <c r="G24" s="62">
        <f>F24/J24</f>
        <v>2123.1053604436229</v>
      </c>
      <c r="H24" s="63"/>
      <c r="I24" s="64">
        <v>444</v>
      </c>
      <c r="J24" s="65">
        <f t="shared" si="0"/>
        <v>2.7050000000000001</v>
      </c>
      <c r="K24" s="65">
        <f>IF(G24="","",(G24/60))</f>
        <v>35.385089340727049</v>
      </c>
      <c r="L24" s="66">
        <v>162.30000000000001</v>
      </c>
      <c r="M24" s="64">
        <v>3439</v>
      </c>
    </row>
    <row r="25" spans="1:13" x14ac:dyDescent="0.3">
      <c r="A25" s="58" t="s">
        <v>234</v>
      </c>
      <c r="B25" s="59">
        <v>67</v>
      </c>
      <c r="C25" s="60">
        <v>5</v>
      </c>
      <c r="D25" s="61">
        <v>46106</v>
      </c>
      <c r="E25" s="61">
        <v>46111</v>
      </c>
      <c r="F25" s="62">
        <v>3830</v>
      </c>
      <c r="G25" s="62">
        <f>F25/J25</f>
        <v>1911.8136439267887</v>
      </c>
      <c r="H25" s="63"/>
      <c r="I25" s="64">
        <v>444</v>
      </c>
      <c r="J25" s="65">
        <f t="shared" si="0"/>
        <v>2.0033333333333334</v>
      </c>
      <c r="K25" s="65">
        <f>IF(G25="","",(G25/60))</f>
        <v>31.863560732113147</v>
      </c>
      <c r="L25" s="66">
        <v>120.2</v>
      </c>
      <c r="M25" s="64">
        <v>3439</v>
      </c>
    </row>
    <row r="26" spans="1:13" x14ac:dyDescent="0.3">
      <c r="A26" s="58" t="s">
        <v>234</v>
      </c>
      <c r="B26" s="59">
        <v>67</v>
      </c>
      <c r="C26" s="60">
        <v>4</v>
      </c>
      <c r="D26" s="61">
        <v>46089</v>
      </c>
      <c r="E26" s="61">
        <v>46115</v>
      </c>
      <c r="F26" s="62">
        <v>8954</v>
      </c>
      <c r="G26" s="62">
        <f>F26/J26</f>
        <v>2883.7359098228662</v>
      </c>
      <c r="H26" s="63"/>
      <c r="I26" s="64">
        <v>444</v>
      </c>
      <c r="J26" s="65">
        <f t="shared" si="0"/>
        <v>3.105</v>
      </c>
      <c r="K26" s="65">
        <f>IF(G26="","",(G26/60))</f>
        <v>48.062265163714436</v>
      </c>
      <c r="L26" s="66">
        <v>186.3</v>
      </c>
      <c r="M26" s="64">
        <v>3439</v>
      </c>
    </row>
    <row r="27" spans="1:13" x14ac:dyDescent="0.3">
      <c r="A27" s="58" t="s">
        <v>234</v>
      </c>
      <c r="B27" s="59">
        <v>67</v>
      </c>
      <c r="C27" s="60">
        <v>5</v>
      </c>
      <c r="D27" s="61">
        <v>46111</v>
      </c>
      <c r="E27" s="61">
        <v>46116</v>
      </c>
      <c r="F27" s="62">
        <v>2917</v>
      </c>
      <c r="G27" s="62">
        <f>F27/J27</f>
        <v>1474.4734625105307</v>
      </c>
      <c r="H27" s="63"/>
      <c r="I27" s="64">
        <v>444</v>
      </c>
      <c r="J27" s="65">
        <f t="shared" si="0"/>
        <v>1.9783333333333333</v>
      </c>
      <c r="K27" s="65">
        <f>IF(G27="","",(G27/60))</f>
        <v>24.574557708508845</v>
      </c>
      <c r="L27" s="66">
        <v>118.7</v>
      </c>
      <c r="M27" s="64">
        <v>3439</v>
      </c>
    </row>
    <row r="28" spans="1:13" x14ac:dyDescent="0.3">
      <c r="A28" s="58" t="s">
        <v>234</v>
      </c>
      <c r="B28" s="59">
        <v>67</v>
      </c>
      <c r="C28" s="60">
        <v>6</v>
      </c>
      <c r="D28" s="61">
        <v>46107</v>
      </c>
      <c r="E28" s="61">
        <v>46117</v>
      </c>
      <c r="F28" s="62">
        <v>6806</v>
      </c>
      <c r="G28" s="62">
        <f>F28/J28</f>
        <v>3009.2851879145178</v>
      </c>
      <c r="H28" s="63"/>
      <c r="I28" s="64">
        <v>444</v>
      </c>
      <c r="J28" s="65">
        <f t="shared" si="0"/>
        <v>2.2616666666666663</v>
      </c>
      <c r="K28" s="65">
        <f>IF(G28="","",(G28/60))</f>
        <v>50.154753131908627</v>
      </c>
      <c r="L28" s="66">
        <v>135.69999999999999</v>
      </c>
      <c r="M28" s="64">
        <v>3439</v>
      </c>
    </row>
    <row r="29" spans="1:13" x14ac:dyDescent="0.3">
      <c r="A29" s="58" t="s">
        <v>234</v>
      </c>
      <c r="B29" s="59">
        <v>67</v>
      </c>
      <c r="C29" s="60">
        <v>3</v>
      </c>
      <c r="D29" s="61">
        <v>46097</v>
      </c>
      <c r="E29" s="61">
        <v>46120</v>
      </c>
      <c r="F29" s="62">
        <v>4880</v>
      </c>
      <c r="G29" s="62">
        <f>F29/J29</f>
        <v>3231.7880794701987</v>
      </c>
      <c r="H29" s="63"/>
      <c r="I29" s="64">
        <v>444</v>
      </c>
      <c r="J29" s="65">
        <f t="shared" si="0"/>
        <v>1.51</v>
      </c>
      <c r="K29" s="65">
        <f>IF(G29="","",(G29/60))</f>
        <v>53.863134657836646</v>
      </c>
      <c r="L29" s="66">
        <v>90.6</v>
      </c>
      <c r="M29" s="64">
        <v>3439</v>
      </c>
    </row>
    <row r="30" spans="1:13" x14ac:dyDescent="0.3">
      <c r="A30" s="58" t="s">
        <v>234</v>
      </c>
      <c r="B30" s="59">
        <v>67</v>
      </c>
      <c r="C30" s="60">
        <v>5</v>
      </c>
      <c r="D30" s="61">
        <v>46116</v>
      </c>
      <c r="E30" s="61">
        <v>46122</v>
      </c>
      <c r="F30" s="62">
        <v>1379</v>
      </c>
      <c r="G30" s="62">
        <f>F30/J30</f>
        <v>791.01338432122373</v>
      </c>
      <c r="H30" s="63"/>
      <c r="I30" s="64">
        <v>444</v>
      </c>
      <c r="J30" s="65">
        <f t="shared" si="0"/>
        <v>1.7433333333333332</v>
      </c>
      <c r="K30" s="65">
        <f>IF(G30="","",(G30/60))</f>
        <v>13.183556405353729</v>
      </c>
      <c r="L30" s="66">
        <v>104.6</v>
      </c>
      <c r="M30" s="64">
        <v>3439</v>
      </c>
    </row>
    <row r="31" spans="1:13" x14ac:dyDescent="0.3">
      <c r="A31" s="58" t="s">
        <v>234</v>
      </c>
      <c r="B31" s="59">
        <v>67</v>
      </c>
      <c r="C31" s="60">
        <v>6</v>
      </c>
      <c r="D31" s="61">
        <v>46117</v>
      </c>
      <c r="E31" s="61">
        <v>46128</v>
      </c>
      <c r="F31" s="62">
        <v>7482</v>
      </c>
      <c r="G31" s="62">
        <f>F31/J31</f>
        <v>3225</v>
      </c>
      <c r="H31" s="63"/>
      <c r="I31" s="64">
        <v>444</v>
      </c>
      <c r="J31" s="65">
        <f t="shared" si="0"/>
        <v>2.3199999999999998</v>
      </c>
      <c r="K31" s="65">
        <f>IF(G31="","",(G31/60))</f>
        <v>53.75</v>
      </c>
      <c r="L31" s="66">
        <v>139.19999999999999</v>
      </c>
      <c r="M31" s="64">
        <v>3439</v>
      </c>
    </row>
    <row r="32" spans="1:13" x14ac:dyDescent="0.3">
      <c r="A32" s="58" t="s">
        <v>234</v>
      </c>
      <c r="B32" s="59">
        <v>67</v>
      </c>
      <c r="C32" s="60">
        <v>5</v>
      </c>
      <c r="D32" s="61">
        <v>46122</v>
      </c>
      <c r="E32" s="61">
        <v>46130</v>
      </c>
      <c r="F32" s="62">
        <v>4120</v>
      </c>
      <c r="G32" s="62">
        <f>F32/J32</f>
        <v>2123.7113402061855</v>
      </c>
      <c r="H32" s="63"/>
      <c r="I32" s="64">
        <v>444</v>
      </c>
      <c r="J32" s="65">
        <f t="shared" si="0"/>
        <v>1.9400000000000002</v>
      </c>
      <c r="K32" s="65">
        <f>IF(G32="","",(G32/60))</f>
        <v>35.395189003436421</v>
      </c>
      <c r="L32" s="66">
        <v>116.4</v>
      </c>
      <c r="M32" s="64">
        <v>3439</v>
      </c>
    </row>
    <row r="33" spans="1:13" x14ac:dyDescent="0.3">
      <c r="A33" s="58" t="s">
        <v>234</v>
      </c>
      <c r="B33" s="59">
        <v>67</v>
      </c>
      <c r="C33" s="60">
        <v>6</v>
      </c>
      <c r="D33" s="61">
        <v>46128</v>
      </c>
      <c r="E33" s="61">
        <v>46137</v>
      </c>
      <c r="F33" s="62">
        <v>6080</v>
      </c>
      <c r="G33" s="62">
        <f>F33/J33</f>
        <v>3352.9411764705883</v>
      </c>
      <c r="H33" s="63"/>
      <c r="I33" s="64">
        <v>444</v>
      </c>
      <c r="J33" s="65">
        <f t="shared" si="0"/>
        <v>1.8133333333333332</v>
      </c>
      <c r="K33" s="65">
        <f>IF(G33="","",(G33/60))</f>
        <v>55.882352941176471</v>
      </c>
      <c r="L33" s="66">
        <v>108.8</v>
      </c>
      <c r="M33" s="64">
        <v>3439</v>
      </c>
    </row>
    <row r="34" spans="1:13" x14ac:dyDescent="0.3">
      <c r="A34" s="58" t="s">
        <v>234</v>
      </c>
      <c r="B34" s="59">
        <v>67</v>
      </c>
      <c r="C34" s="60">
        <v>5</v>
      </c>
      <c r="D34" s="61">
        <v>46130</v>
      </c>
      <c r="E34" s="61">
        <v>46139</v>
      </c>
      <c r="F34" s="62">
        <v>7434</v>
      </c>
      <c r="G34" s="62">
        <f>F34/J34</f>
        <v>3571.1769415532426</v>
      </c>
      <c r="H34" s="63"/>
      <c r="I34" s="64">
        <v>444</v>
      </c>
      <c r="J34" s="65">
        <f t="shared" si="0"/>
        <v>2.0816666666666666</v>
      </c>
      <c r="K34" s="65">
        <f>IF(G34="","",(G34/60))</f>
        <v>59.519615692554041</v>
      </c>
      <c r="L34" s="66">
        <v>124.9</v>
      </c>
      <c r="M34" s="64">
        <v>3439</v>
      </c>
    </row>
    <row r="35" spans="1:13" x14ac:dyDescent="0.3">
      <c r="A35" s="58" t="s">
        <v>234</v>
      </c>
      <c r="B35" s="59">
        <v>67</v>
      </c>
      <c r="C35" s="60">
        <v>4</v>
      </c>
      <c r="D35" s="61">
        <v>46115</v>
      </c>
      <c r="E35" s="61">
        <v>46144</v>
      </c>
      <c r="F35" s="62">
        <v>13235</v>
      </c>
      <c r="G35" s="62">
        <f>F35/J35</f>
        <v>2619.9274166941605</v>
      </c>
      <c r="H35" s="63"/>
      <c r="I35" s="64">
        <v>444</v>
      </c>
      <c r="J35" s="65">
        <f t="shared" si="0"/>
        <v>5.0516666666666667</v>
      </c>
      <c r="K35" s="65">
        <f>IF(G35="","",(G35/60))</f>
        <v>43.665456944902672</v>
      </c>
      <c r="L35" s="66">
        <v>303.10000000000002</v>
      </c>
      <c r="M35" s="64">
        <v>3439</v>
      </c>
    </row>
    <row r="36" spans="1:13" x14ac:dyDescent="0.3">
      <c r="A36" s="58" t="s">
        <v>234</v>
      </c>
      <c r="B36" s="59">
        <v>67</v>
      </c>
      <c r="C36" s="60">
        <v>6</v>
      </c>
      <c r="D36" s="61">
        <v>46137</v>
      </c>
      <c r="E36" s="61">
        <v>46146</v>
      </c>
      <c r="F36" s="62">
        <v>7006</v>
      </c>
      <c r="G36" s="62">
        <f>F36/J36</f>
        <v>3677.6902887139108</v>
      </c>
      <c r="H36" s="63"/>
      <c r="I36" s="64">
        <v>444</v>
      </c>
      <c r="J36" s="65">
        <f t="shared" si="0"/>
        <v>1.905</v>
      </c>
      <c r="K36" s="65">
        <f>IF(G36="","",(G36/60))</f>
        <v>61.29483814523185</v>
      </c>
      <c r="L36" s="66">
        <v>114.3</v>
      </c>
      <c r="M36" s="64">
        <v>3439</v>
      </c>
    </row>
    <row r="37" spans="1:13" x14ac:dyDescent="0.3">
      <c r="A37" s="58" t="s">
        <v>234</v>
      </c>
      <c r="B37" s="59">
        <v>67</v>
      </c>
      <c r="C37" s="60">
        <v>5</v>
      </c>
      <c r="D37" s="61">
        <v>46139</v>
      </c>
      <c r="E37" s="61">
        <v>46148</v>
      </c>
      <c r="F37" s="62">
        <v>7215</v>
      </c>
      <c r="G37" s="62">
        <f>F37/J37</f>
        <v>2641.2446613788893</v>
      </c>
      <c r="H37" s="63"/>
      <c r="I37" s="64">
        <v>444</v>
      </c>
      <c r="J37" s="65">
        <f t="shared" si="0"/>
        <v>2.7316666666666669</v>
      </c>
      <c r="K37" s="65">
        <f>IF(G37="","",(G37/60))</f>
        <v>44.020744356314822</v>
      </c>
      <c r="L37" s="66">
        <v>163.9</v>
      </c>
      <c r="M37" s="64">
        <v>3439</v>
      </c>
    </row>
    <row r="38" spans="1:13" x14ac:dyDescent="0.3">
      <c r="A38" s="58" t="s">
        <v>234</v>
      </c>
      <c r="B38" s="59">
        <v>67</v>
      </c>
      <c r="C38" s="60">
        <v>5</v>
      </c>
      <c r="D38" s="61">
        <v>46148</v>
      </c>
      <c r="E38" s="61">
        <v>46159</v>
      </c>
      <c r="F38" s="62">
        <v>3506</v>
      </c>
      <c r="G38" s="62">
        <f>F38/J38</f>
        <v>1402.4</v>
      </c>
      <c r="H38" s="63"/>
      <c r="I38" s="64">
        <v>444</v>
      </c>
      <c r="J38" s="65">
        <f t="shared" si="0"/>
        <v>2.5</v>
      </c>
      <c r="K38" s="65">
        <f>IF(G38="","",(G38/60))</f>
        <v>23.373333333333335</v>
      </c>
      <c r="L38" s="66">
        <v>150</v>
      </c>
      <c r="M38" s="64">
        <v>3439</v>
      </c>
    </row>
    <row r="39" spans="1:13" x14ac:dyDescent="0.3">
      <c r="A39" s="58" t="s">
        <v>234</v>
      </c>
      <c r="B39" s="59">
        <v>67</v>
      </c>
      <c r="C39" s="60">
        <v>5</v>
      </c>
      <c r="D39" s="61">
        <v>46159</v>
      </c>
      <c r="E39" s="61">
        <v>46169</v>
      </c>
      <c r="F39" s="62">
        <v>4716</v>
      </c>
      <c r="G39" s="62">
        <f>F39/J39</f>
        <v>1980.1259622113364</v>
      </c>
      <c r="H39" s="63"/>
      <c r="I39" s="64">
        <v>444</v>
      </c>
      <c r="J39" s="65">
        <f t="shared" si="0"/>
        <v>2.3816666666666668</v>
      </c>
      <c r="K39" s="65">
        <f>IF(G39="","",(G39/60))</f>
        <v>33.002099370188937</v>
      </c>
      <c r="L39" s="66">
        <v>142.9</v>
      </c>
      <c r="M39" s="64">
        <v>3439</v>
      </c>
    </row>
    <row r="40" spans="1:13" x14ac:dyDescent="0.3">
      <c r="A40" s="58" t="s">
        <v>234</v>
      </c>
      <c r="B40" s="59">
        <v>67</v>
      </c>
      <c r="C40" s="60">
        <v>5</v>
      </c>
      <c r="D40" s="61">
        <v>46169</v>
      </c>
      <c r="E40" s="61">
        <v>46176</v>
      </c>
      <c r="F40" s="62">
        <v>3729</v>
      </c>
      <c r="G40" s="62">
        <f>F40/J40</f>
        <v>1995.8965209634257</v>
      </c>
      <c r="H40" s="63"/>
      <c r="I40" s="64">
        <v>444</v>
      </c>
      <c r="J40" s="65">
        <f t="shared" si="0"/>
        <v>1.8683333333333332</v>
      </c>
      <c r="K40" s="65">
        <f>IF(G40="","",(G40/60))</f>
        <v>33.264942016057098</v>
      </c>
      <c r="L40" s="66">
        <v>112.1</v>
      </c>
      <c r="M40" s="64">
        <v>3439</v>
      </c>
    </row>
    <row r="41" spans="1:13" x14ac:dyDescent="0.3">
      <c r="A41" s="58" t="s">
        <v>234</v>
      </c>
      <c r="B41" s="59">
        <v>67</v>
      </c>
      <c r="C41" s="60">
        <v>5</v>
      </c>
      <c r="D41" s="61">
        <v>46176</v>
      </c>
      <c r="E41" s="61">
        <v>46181</v>
      </c>
      <c r="F41" s="62">
        <v>1172</v>
      </c>
      <c r="G41" s="62">
        <f>F41/J41</f>
        <v>752.08556149732624</v>
      </c>
      <c r="H41" s="63"/>
      <c r="I41" s="64">
        <v>444</v>
      </c>
      <c r="J41" s="65">
        <f t="shared" si="0"/>
        <v>1.5583333333333333</v>
      </c>
      <c r="K41" s="65">
        <f>IF(G41="","",(G41/60))</f>
        <v>12.53475935828877</v>
      </c>
      <c r="L41" s="66">
        <v>93.5</v>
      </c>
      <c r="M41" s="64">
        <v>3439</v>
      </c>
    </row>
    <row r="42" spans="1:13" x14ac:dyDescent="0.3">
      <c r="A42" s="58" t="s">
        <v>234</v>
      </c>
      <c r="B42" s="59">
        <v>67</v>
      </c>
      <c r="C42" s="60">
        <v>6</v>
      </c>
      <c r="D42" s="61">
        <v>46146</v>
      </c>
      <c r="E42" s="61">
        <v>46188</v>
      </c>
      <c r="F42" s="62">
        <v>11039</v>
      </c>
      <c r="G42" s="62">
        <f>F42/J42</f>
        <v>4360.3686635944696</v>
      </c>
      <c r="H42" s="63"/>
      <c r="I42" s="64">
        <v>444</v>
      </c>
      <c r="J42" s="65">
        <f t="shared" si="0"/>
        <v>2.5316666666666667</v>
      </c>
      <c r="K42" s="65">
        <f>IF(G42="","",(G42/60))</f>
        <v>72.672811059907829</v>
      </c>
      <c r="L42" s="66">
        <v>151.9</v>
      </c>
      <c r="M42" s="64">
        <v>3439</v>
      </c>
    </row>
    <row r="43" spans="1:13" x14ac:dyDescent="0.3">
      <c r="A43" s="58" t="s">
        <v>234</v>
      </c>
      <c r="B43" s="59">
        <v>67</v>
      </c>
      <c r="C43" s="60">
        <v>5</v>
      </c>
      <c r="D43" s="61">
        <v>46181</v>
      </c>
      <c r="E43" s="61">
        <v>46188</v>
      </c>
      <c r="F43" s="62">
        <v>6280</v>
      </c>
      <c r="G43" s="62">
        <f>F43/J43</f>
        <v>2485.488126649077</v>
      </c>
      <c r="H43" s="63"/>
      <c r="I43" s="64">
        <v>444</v>
      </c>
      <c r="J43" s="65">
        <f t="shared" si="0"/>
        <v>2.5266666666666664</v>
      </c>
      <c r="K43" s="65">
        <f>IF(G43="","",(G43/60))</f>
        <v>41.42480211081795</v>
      </c>
      <c r="L43" s="66">
        <v>151.6</v>
      </c>
      <c r="M43" s="64">
        <v>3439</v>
      </c>
    </row>
    <row r="44" spans="1:13" x14ac:dyDescent="0.3">
      <c r="A44" s="58" t="s">
        <v>234</v>
      </c>
      <c r="B44" s="59">
        <v>67</v>
      </c>
      <c r="C44" s="60">
        <v>6</v>
      </c>
      <c r="D44" s="61">
        <v>46188</v>
      </c>
      <c r="E44" s="61">
        <v>46196</v>
      </c>
      <c r="F44" s="62">
        <v>6475</v>
      </c>
      <c r="G44" s="62">
        <f>F44/J44</f>
        <v>2947.6479514415778</v>
      </c>
      <c r="H44" s="63"/>
      <c r="I44" s="64">
        <v>444</v>
      </c>
      <c r="J44" s="65">
        <f t="shared" si="0"/>
        <v>2.1966666666666668</v>
      </c>
      <c r="K44" s="65">
        <f>IF(G44="","",(G44/60))</f>
        <v>49.127465857359631</v>
      </c>
      <c r="L44" s="66">
        <v>131.80000000000001</v>
      </c>
      <c r="M44" s="64">
        <v>3439</v>
      </c>
    </row>
    <row r="45" spans="1:13" x14ac:dyDescent="0.3">
      <c r="A45" s="58" t="s">
        <v>234</v>
      </c>
      <c r="B45" s="59">
        <v>67</v>
      </c>
      <c r="C45" s="60">
        <v>5</v>
      </c>
      <c r="D45" s="61">
        <v>46188</v>
      </c>
      <c r="E45" s="61">
        <v>46198</v>
      </c>
      <c r="F45" s="62">
        <v>5897</v>
      </c>
      <c r="G45" s="62">
        <f>F45/J45</f>
        <v>2790.3785488958993</v>
      </c>
      <c r="H45" s="63"/>
      <c r="I45" s="64">
        <v>444</v>
      </c>
      <c r="J45" s="65">
        <f t="shared" si="0"/>
        <v>2.1133333333333333</v>
      </c>
      <c r="K45" s="65">
        <f>IF(G45="","",(G45/60))</f>
        <v>46.50630914826499</v>
      </c>
      <c r="L45" s="66">
        <v>126.8</v>
      </c>
      <c r="M45" s="64">
        <v>3439</v>
      </c>
    </row>
    <row r="46" spans="1:13" x14ac:dyDescent="0.3">
      <c r="A46" s="58" t="s">
        <v>234</v>
      </c>
      <c r="B46" s="59">
        <v>67</v>
      </c>
      <c r="C46" s="60">
        <v>3</v>
      </c>
      <c r="D46" s="61">
        <v>46120</v>
      </c>
      <c r="E46" s="61">
        <v>46199</v>
      </c>
      <c r="F46" s="62">
        <v>8344</v>
      </c>
      <c r="G46" s="62">
        <f>F46/J46</f>
        <v>3563.274021352313</v>
      </c>
      <c r="H46" s="63"/>
      <c r="I46" s="64">
        <v>444</v>
      </c>
      <c r="J46" s="65">
        <f t="shared" si="0"/>
        <v>2.3416666666666668</v>
      </c>
      <c r="K46" s="65">
        <f>IF(G46="","",(G46/60))</f>
        <v>59.387900355871885</v>
      </c>
      <c r="L46" s="66">
        <v>140.5</v>
      </c>
      <c r="M46" s="64">
        <v>3439</v>
      </c>
    </row>
    <row r="47" spans="1:13" x14ac:dyDescent="0.3">
      <c r="A47" s="58" t="s">
        <v>234</v>
      </c>
      <c r="B47" s="59">
        <v>67</v>
      </c>
      <c r="C47" s="60">
        <v>5</v>
      </c>
      <c r="D47" s="61">
        <v>46198</v>
      </c>
      <c r="E47" s="61">
        <v>46200</v>
      </c>
      <c r="F47" s="62">
        <v>1459</v>
      </c>
      <c r="G47" s="62">
        <f>F47/J47</f>
        <v>761.87989556135767</v>
      </c>
      <c r="H47" s="67" t="s">
        <v>237</v>
      </c>
      <c r="I47" s="64">
        <v>444</v>
      </c>
      <c r="J47" s="65">
        <f t="shared" si="0"/>
        <v>1.915</v>
      </c>
      <c r="K47" s="65">
        <f>IF(G47="","",(G47/60))</f>
        <v>12.697998259355961</v>
      </c>
      <c r="L47" s="66">
        <v>114.9</v>
      </c>
      <c r="M47" s="64">
        <v>3439</v>
      </c>
    </row>
    <row r="48" spans="1:13" x14ac:dyDescent="0.3">
      <c r="A48" s="58" t="s">
        <v>234</v>
      </c>
      <c r="B48" s="59">
        <v>67</v>
      </c>
      <c r="C48" s="60">
        <v>4</v>
      </c>
      <c r="D48" s="61">
        <v>46144</v>
      </c>
      <c r="E48" s="61">
        <v>46207</v>
      </c>
      <c r="F48" s="62">
        <v>13816</v>
      </c>
      <c r="G48" s="62">
        <f>F48/J48</f>
        <v>2959.5144591217418</v>
      </c>
      <c r="H48" s="63"/>
      <c r="I48" s="64">
        <v>444</v>
      </c>
      <c r="J48" s="65">
        <f t="shared" si="0"/>
        <v>4.6683333333333339</v>
      </c>
      <c r="K48" s="65">
        <f>IF(G48="","",(G48/60))</f>
        <v>49.325240985362363</v>
      </c>
      <c r="L48" s="66">
        <v>280.10000000000002</v>
      </c>
      <c r="M48" s="64">
        <v>3439</v>
      </c>
    </row>
  </sheetData>
  <autoFilter ref="A4:M4" xr:uid="{73EAB6B9-A9B3-4B49-9678-7037A2C239C6}"/>
  <pageMargins left="0.5" right="0.25" top="0.5" bottom="0.5" header="0.5" footer="0.5"/>
  <pageSetup scale="4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6695-66F7-42C6-A014-794E071ED0A1}">
  <dimension ref="B2:L94"/>
  <sheetViews>
    <sheetView workbookViewId="0">
      <selection activeCell="G28" sqref="G28"/>
    </sheetView>
  </sheetViews>
  <sheetFormatPr defaultRowHeight="14.5" x14ac:dyDescent="0.35"/>
  <cols>
    <col min="2" max="12" width="17.453125" customWidth="1"/>
  </cols>
  <sheetData>
    <row r="2" spans="2:12" x14ac:dyDescent="0.35">
      <c r="B2" s="11" t="s">
        <v>238</v>
      </c>
      <c r="C2" s="11" t="s">
        <v>239</v>
      </c>
      <c r="D2" s="11" t="s">
        <v>221</v>
      </c>
      <c r="E2" s="11" t="s">
        <v>240</v>
      </c>
      <c r="F2" s="11" t="s">
        <v>241</v>
      </c>
      <c r="G2" s="11" t="s">
        <v>242</v>
      </c>
      <c r="H2" s="11" t="s">
        <v>243</v>
      </c>
      <c r="I2" s="12" t="s">
        <v>244</v>
      </c>
      <c r="J2" s="12" t="s">
        <v>245</v>
      </c>
      <c r="K2" s="13" t="s">
        <v>227</v>
      </c>
      <c r="L2" s="13" t="s">
        <v>247</v>
      </c>
    </row>
    <row r="3" spans="2:12" x14ac:dyDescent="0.35">
      <c r="B3" s="69" t="s">
        <v>328</v>
      </c>
      <c r="C3" s="14">
        <v>10.625</v>
      </c>
      <c r="D3" s="70" t="s">
        <v>248</v>
      </c>
      <c r="E3" s="71" t="s">
        <v>249</v>
      </c>
      <c r="F3" s="72">
        <v>484434</v>
      </c>
      <c r="G3" s="72">
        <v>46181</v>
      </c>
      <c r="H3" s="73">
        <v>8641.6</v>
      </c>
      <c r="I3" s="17">
        <v>3439</v>
      </c>
      <c r="J3" s="74">
        <v>400</v>
      </c>
      <c r="K3" s="75" t="s">
        <v>250</v>
      </c>
      <c r="L3" s="76"/>
    </row>
    <row r="4" spans="2:12" x14ac:dyDescent="0.35">
      <c r="B4" s="69" t="s">
        <v>328</v>
      </c>
      <c r="C4" s="14">
        <v>10.625</v>
      </c>
      <c r="D4" s="70" t="s">
        <v>251</v>
      </c>
      <c r="E4" s="71" t="s">
        <v>252</v>
      </c>
      <c r="F4" s="72">
        <v>46206</v>
      </c>
      <c r="G4" s="72">
        <v>46216</v>
      </c>
      <c r="H4" s="73">
        <v>8574</v>
      </c>
      <c r="I4" s="17">
        <v>3439</v>
      </c>
      <c r="J4" s="74">
        <v>300</v>
      </c>
      <c r="K4" s="75" t="s">
        <v>253</v>
      </c>
      <c r="L4" s="76" t="s">
        <v>254</v>
      </c>
    </row>
    <row r="5" spans="2:12" x14ac:dyDescent="0.35">
      <c r="B5" s="69" t="s">
        <v>328</v>
      </c>
      <c r="C5" s="14">
        <v>10.625</v>
      </c>
      <c r="D5" s="70" t="s">
        <v>251</v>
      </c>
      <c r="E5" s="71" t="s">
        <v>252</v>
      </c>
      <c r="F5" s="72">
        <v>46189</v>
      </c>
      <c r="G5" s="72"/>
      <c r="H5" s="73">
        <v>6810</v>
      </c>
      <c r="I5" s="17">
        <v>3439</v>
      </c>
      <c r="J5" s="74">
        <v>300</v>
      </c>
      <c r="K5" s="75" t="s">
        <v>255</v>
      </c>
      <c r="L5" s="76"/>
    </row>
    <row r="6" spans="2:12" x14ac:dyDescent="0.35">
      <c r="B6" s="69" t="s">
        <v>328</v>
      </c>
      <c r="C6" s="14">
        <v>10.625</v>
      </c>
      <c r="D6" s="70" t="s">
        <v>248</v>
      </c>
      <c r="E6" s="71" t="s">
        <v>256</v>
      </c>
      <c r="F6" s="72">
        <v>46151</v>
      </c>
      <c r="G6" s="72"/>
      <c r="H6" s="73">
        <v>7183.4</v>
      </c>
      <c r="I6" s="17">
        <v>3439</v>
      </c>
      <c r="J6" s="74">
        <v>400</v>
      </c>
      <c r="K6" s="75" t="s">
        <v>257</v>
      </c>
      <c r="L6" s="76"/>
    </row>
    <row r="7" spans="2:12" x14ac:dyDescent="0.35">
      <c r="B7" s="69" t="s">
        <v>328</v>
      </c>
      <c r="C7" s="14">
        <v>10.625</v>
      </c>
      <c r="D7" s="70" t="s">
        <v>248</v>
      </c>
      <c r="E7" s="71" t="s">
        <v>252</v>
      </c>
      <c r="F7" s="72">
        <v>46149</v>
      </c>
      <c r="G7" s="72"/>
      <c r="H7" s="73">
        <v>15755.3</v>
      </c>
      <c r="I7" s="17">
        <v>3439</v>
      </c>
      <c r="J7" s="74">
        <v>400</v>
      </c>
      <c r="K7" s="75" t="s">
        <v>258</v>
      </c>
      <c r="L7" s="76"/>
    </row>
    <row r="8" spans="2:12" x14ac:dyDescent="0.35">
      <c r="B8" s="69" t="s">
        <v>328</v>
      </c>
      <c r="C8" s="14">
        <v>10.625</v>
      </c>
      <c r="D8" s="70" t="s">
        <v>248</v>
      </c>
      <c r="E8" s="71" t="s">
        <v>252</v>
      </c>
      <c r="F8" s="72">
        <v>46129</v>
      </c>
      <c r="G8" s="72"/>
      <c r="H8" s="73">
        <v>6657.7000000000007</v>
      </c>
      <c r="I8" s="17">
        <v>3439</v>
      </c>
      <c r="J8" s="74">
        <v>400</v>
      </c>
      <c r="K8" s="75" t="s">
        <v>259</v>
      </c>
      <c r="L8" s="76" t="s">
        <v>254</v>
      </c>
    </row>
    <row r="9" spans="2:12" x14ac:dyDescent="0.35">
      <c r="B9" s="69" t="s">
        <v>328</v>
      </c>
      <c r="C9" s="14">
        <v>10.625</v>
      </c>
      <c r="D9" s="70" t="s">
        <v>248</v>
      </c>
      <c r="E9" s="71" t="s">
        <v>249</v>
      </c>
      <c r="F9" s="72">
        <v>46124</v>
      </c>
      <c r="G9" s="72"/>
      <c r="H9" s="73">
        <v>8079.5999999999995</v>
      </c>
      <c r="I9" s="17">
        <v>3439</v>
      </c>
      <c r="J9" s="74">
        <v>400</v>
      </c>
      <c r="K9" s="75" t="s">
        <v>260</v>
      </c>
      <c r="L9" s="76" t="s">
        <v>254</v>
      </c>
    </row>
    <row r="10" spans="2:12" x14ac:dyDescent="0.35">
      <c r="B10" s="69" t="s">
        <v>328</v>
      </c>
      <c r="C10" s="14">
        <v>10.625</v>
      </c>
      <c r="D10" s="70" t="s">
        <v>248</v>
      </c>
      <c r="E10" s="71" t="s">
        <v>252</v>
      </c>
      <c r="F10" s="72">
        <v>46120</v>
      </c>
      <c r="G10" s="72"/>
      <c r="H10" s="73">
        <v>4620.7</v>
      </c>
      <c r="I10" s="17">
        <v>3439</v>
      </c>
      <c r="J10" s="74">
        <v>400</v>
      </c>
      <c r="K10" s="75" t="s">
        <v>261</v>
      </c>
      <c r="L10" s="76"/>
    </row>
    <row r="11" spans="2:12" x14ac:dyDescent="0.35">
      <c r="B11" s="69" t="s">
        <v>328</v>
      </c>
      <c r="C11" s="14">
        <v>10.625</v>
      </c>
      <c r="D11" s="70" t="s">
        <v>248</v>
      </c>
      <c r="E11" s="71" t="s">
        <v>249</v>
      </c>
      <c r="F11" s="72">
        <v>46104</v>
      </c>
      <c r="G11" s="72"/>
      <c r="H11" s="73">
        <v>5333.9000000000005</v>
      </c>
      <c r="I11" s="17">
        <v>3439</v>
      </c>
      <c r="J11" s="74">
        <v>400</v>
      </c>
      <c r="K11" s="75" t="s">
        <v>262</v>
      </c>
      <c r="L11" s="76" t="s">
        <v>254</v>
      </c>
    </row>
    <row r="12" spans="2:12" x14ac:dyDescent="0.35">
      <c r="B12" s="69" t="s">
        <v>328</v>
      </c>
      <c r="C12" s="14">
        <v>10.625</v>
      </c>
      <c r="D12" s="70" t="s">
        <v>248</v>
      </c>
      <c r="E12" s="71" t="s">
        <v>249</v>
      </c>
      <c r="F12" s="72">
        <v>46099</v>
      </c>
      <c r="G12" s="72"/>
      <c r="H12" s="73">
        <v>5774.2999999999993</v>
      </c>
      <c r="I12" s="17">
        <v>3439</v>
      </c>
      <c r="J12" s="74">
        <v>400</v>
      </c>
      <c r="K12" s="75" t="s">
        <v>262</v>
      </c>
      <c r="L12" s="76" t="s">
        <v>254</v>
      </c>
    </row>
    <row r="13" spans="2:12" x14ac:dyDescent="0.35">
      <c r="B13" s="69" t="s">
        <v>328</v>
      </c>
      <c r="C13" s="14">
        <v>10.625</v>
      </c>
      <c r="D13" s="70" t="s">
        <v>248</v>
      </c>
      <c r="E13" s="71" t="s">
        <v>252</v>
      </c>
      <c r="F13" s="72">
        <v>46090</v>
      </c>
      <c r="G13" s="72"/>
      <c r="H13" s="73">
        <v>9039.7000000000007</v>
      </c>
      <c r="I13" s="17">
        <v>3439</v>
      </c>
      <c r="J13" s="74">
        <v>400</v>
      </c>
      <c r="K13" s="75" t="s">
        <v>263</v>
      </c>
      <c r="L13" s="76" t="s">
        <v>254</v>
      </c>
    </row>
    <row r="14" spans="2:12" x14ac:dyDescent="0.35">
      <c r="B14" s="69" t="s">
        <v>328</v>
      </c>
      <c r="C14" s="14">
        <v>10.625</v>
      </c>
      <c r="D14" s="70" t="s">
        <v>248</v>
      </c>
      <c r="E14" s="71" t="s">
        <v>252</v>
      </c>
      <c r="F14" s="72">
        <v>46080</v>
      </c>
      <c r="G14" s="72"/>
      <c r="H14" s="73">
        <v>8449.6</v>
      </c>
      <c r="I14" s="17">
        <v>3439</v>
      </c>
      <c r="J14" s="74">
        <v>400</v>
      </c>
      <c r="K14" s="75" t="s">
        <v>262</v>
      </c>
      <c r="L14" s="76"/>
    </row>
    <row r="15" spans="2:12" x14ac:dyDescent="0.35">
      <c r="B15" s="69" t="s">
        <v>328</v>
      </c>
      <c r="C15" s="14">
        <v>10.625</v>
      </c>
      <c r="D15" s="70" t="s">
        <v>248</v>
      </c>
      <c r="E15" s="71" t="s">
        <v>252</v>
      </c>
      <c r="F15" s="72">
        <v>46074</v>
      </c>
      <c r="G15" s="72">
        <v>46080</v>
      </c>
      <c r="H15" s="73">
        <v>6935.2</v>
      </c>
      <c r="I15" s="17">
        <v>3439</v>
      </c>
      <c r="J15" s="74">
        <v>400</v>
      </c>
      <c r="K15" s="75" t="s">
        <v>264</v>
      </c>
      <c r="L15" s="76" t="s">
        <v>254</v>
      </c>
    </row>
    <row r="16" spans="2:12" x14ac:dyDescent="0.35">
      <c r="B16" s="69" t="s">
        <v>328</v>
      </c>
      <c r="C16" s="14">
        <v>10.625</v>
      </c>
      <c r="D16" s="78" t="s">
        <v>248</v>
      </c>
      <c r="E16" s="79" t="s">
        <v>249</v>
      </c>
      <c r="F16" s="80">
        <v>46071</v>
      </c>
      <c r="G16" s="80"/>
      <c r="H16" s="81">
        <v>7331.4</v>
      </c>
      <c r="I16" s="17">
        <v>3439</v>
      </c>
      <c r="J16" s="74">
        <v>400</v>
      </c>
      <c r="K16" s="82" t="s">
        <v>265</v>
      </c>
      <c r="L16" s="83"/>
    </row>
    <row r="17" spans="2:12" x14ac:dyDescent="0.35">
      <c r="B17" s="69" t="s">
        <v>328</v>
      </c>
      <c r="C17" s="14">
        <v>10.625</v>
      </c>
      <c r="D17" s="70" t="s">
        <v>248</v>
      </c>
      <c r="E17" s="71" t="s">
        <v>256</v>
      </c>
      <c r="F17" s="72">
        <v>46064</v>
      </c>
      <c r="G17" s="72"/>
      <c r="H17" s="73">
        <v>5054.2999999999993</v>
      </c>
      <c r="I17" s="17">
        <v>3439</v>
      </c>
      <c r="J17" s="74">
        <v>400</v>
      </c>
      <c r="K17" s="75" t="s">
        <v>263</v>
      </c>
      <c r="L17" s="76"/>
    </row>
    <row r="18" spans="2:12" x14ac:dyDescent="0.35">
      <c r="B18" s="69" t="s">
        <v>328</v>
      </c>
      <c r="C18" s="14">
        <v>10.625</v>
      </c>
      <c r="D18" s="70" t="s">
        <v>248</v>
      </c>
      <c r="E18" s="71" t="s">
        <v>252</v>
      </c>
      <c r="F18" s="72">
        <v>46057</v>
      </c>
      <c r="G18" s="72">
        <v>46073</v>
      </c>
      <c r="H18" s="73">
        <v>10422.4</v>
      </c>
      <c r="I18" s="17">
        <v>3439</v>
      </c>
      <c r="J18" s="74">
        <v>400</v>
      </c>
      <c r="K18" s="75" t="s">
        <v>266</v>
      </c>
      <c r="L18" s="76"/>
    </row>
    <row r="19" spans="2:12" x14ac:dyDescent="0.35">
      <c r="B19" s="69" t="s">
        <v>328</v>
      </c>
      <c r="C19" s="14">
        <v>10.625</v>
      </c>
      <c r="D19" s="70" t="s">
        <v>248</v>
      </c>
      <c r="E19" s="71" t="s">
        <v>256</v>
      </c>
      <c r="F19" s="72">
        <v>46057</v>
      </c>
      <c r="G19" s="72">
        <v>46060</v>
      </c>
      <c r="H19" s="73">
        <v>9174</v>
      </c>
      <c r="I19" s="17">
        <v>3439</v>
      </c>
      <c r="J19" s="74">
        <v>400</v>
      </c>
      <c r="K19" s="75" t="s">
        <v>267</v>
      </c>
      <c r="L19" s="76"/>
    </row>
    <row r="20" spans="2:12" x14ac:dyDescent="0.35">
      <c r="B20" s="69" t="s">
        <v>328</v>
      </c>
      <c r="C20" s="14">
        <v>10.625</v>
      </c>
      <c r="D20" s="70" t="s">
        <v>248</v>
      </c>
      <c r="E20" s="71" t="s">
        <v>256</v>
      </c>
      <c r="F20" s="72">
        <v>46036</v>
      </c>
      <c r="G20" s="72">
        <v>46040</v>
      </c>
      <c r="H20" s="73">
        <v>7873.5</v>
      </c>
      <c r="I20" s="17">
        <v>3439</v>
      </c>
      <c r="J20" s="74">
        <v>400</v>
      </c>
      <c r="K20" s="75" t="s">
        <v>268</v>
      </c>
      <c r="L20" s="76" t="s">
        <v>254</v>
      </c>
    </row>
    <row r="21" spans="2:12" x14ac:dyDescent="0.35">
      <c r="B21" s="69" t="s">
        <v>328</v>
      </c>
      <c r="C21" s="14">
        <v>10.625</v>
      </c>
      <c r="D21" s="70" t="s">
        <v>248</v>
      </c>
      <c r="E21" s="71" t="s">
        <v>249</v>
      </c>
      <c r="F21" s="72">
        <v>46034</v>
      </c>
      <c r="G21" s="72">
        <v>46034</v>
      </c>
      <c r="H21" s="73">
        <v>5876.9</v>
      </c>
      <c r="I21" s="17">
        <v>3439</v>
      </c>
      <c r="J21" s="74">
        <v>400</v>
      </c>
      <c r="K21" s="75" t="s">
        <v>269</v>
      </c>
      <c r="L21" s="76" t="s">
        <v>254</v>
      </c>
    </row>
    <row r="22" spans="2:12" x14ac:dyDescent="0.35">
      <c r="B22" s="69" t="s">
        <v>328</v>
      </c>
      <c r="C22" s="14">
        <v>10.625</v>
      </c>
      <c r="D22" s="70" t="s">
        <v>248</v>
      </c>
      <c r="E22" s="71" t="s">
        <v>256</v>
      </c>
      <c r="F22" s="72">
        <v>46027</v>
      </c>
      <c r="G22" s="72">
        <v>46036</v>
      </c>
      <c r="H22" s="73">
        <v>6621.6</v>
      </c>
      <c r="I22" s="17">
        <v>3439</v>
      </c>
      <c r="J22" s="74">
        <v>400</v>
      </c>
      <c r="K22" s="75" t="s">
        <v>250</v>
      </c>
      <c r="L22" s="76"/>
    </row>
    <row r="23" spans="2:12" x14ac:dyDescent="0.35">
      <c r="B23" s="69" t="s">
        <v>328</v>
      </c>
      <c r="C23" s="14">
        <v>10.625</v>
      </c>
      <c r="D23" s="70" t="s">
        <v>248</v>
      </c>
      <c r="E23" s="71" t="s">
        <v>252</v>
      </c>
      <c r="F23" s="72">
        <v>46027</v>
      </c>
      <c r="G23" s="72"/>
      <c r="H23" s="73">
        <v>4593.6000000000004</v>
      </c>
      <c r="I23" s="17">
        <v>3439</v>
      </c>
      <c r="J23" s="74">
        <v>400</v>
      </c>
      <c r="K23" s="75" t="s">
        <v>270</v>
      </c>
      <c r="L23" s="76"/>
    </row>
    <row r="24" spans="2:12" x14ac:dyDescent="0.35">
      <c r="B24" s="69" t="s">
        <v>328</v>
      </c>
      <c r="C24" s="14">
        <v>10.625</v>
      </c>
      <c r="D24" s="70" t="s">
        <v>248</v>
      </c>
      <c r="E24" s="71" t="s">
        <v>249</v>
      </c>
      <c r="F24" s="72">
        <v>46025</v>
      </c>
      <c r="G24" s="72">
        <v>46025</v>
      </c>
      <c r="H24" s="73">
        <v>5247.5</v>
      </c>
      <c r="I24" s="17">
        <v>3439</v>
      </c>
      <c r="J24" s="74">
        <v>400</v>
      </c>
      <c r="K24" s="75" t="s">
        <v>269</v>
      </c>
      <c r="L24" s="76" t="s">
        <v>254</v>
      </c>
    </row>
    <row r="25" spans="2:12" x14ac:dyDescent="0.35">
      <c r="B25" s="69" t="s">
        <v>328</v>
      </c>
      <c r="C25" s="14">
        <v>10.625</v>
      </c>
      <c r="D25" s="70" t="s">
        <v>248</v>
      </c>
      <c r="E25" s="71" t="s">
        <v>249</v>
      </c>
      <c r="F25" s="72">
        <v>46019</v>
      </c>
      <c r="G25" s="72"/>
      <c r="H25" s="73">
        <v>2628</v>
      </c>
      <c r="I25" s="17">
        <v>3439</v>
      </c>
      <c r="J25" s="74">
        <v>400</v>
      </c>
      <c r="K25" s="75" t="s">
        <v>269</v>
      </c>
      <c r="L25" s="76"/>
    </row>
    <row r="26" spans="2:12" x14ac:dyDescent="0.35">
      <c r="B26" s="69" t="s">
        <v>328</v>
      </c>
      <c r="C26" s="14">
        <v>10.625</v>
      </c>
      <c r="D26" s="70" t="s">
        <v>248</v>
      </c>
      <c r="E26" s="71" t="s">
        <v>271</v>
      </c>
      <c r="F26" s="72">
        <v>46011</v>
      </c>
      <c r="G26" s="72"/>
      <c r="H26" s="73">
        <v>6098.8</v>
      </c>
      <c r="I26" s="17">
        <v>3439</v>
      </c>
      <c r="J26" s="74">
        <v>400</v>
      </c>
      <c r="K26" s="75" t="s">
        <v>272</v>
      </c>
      <c r="L26" s="76"/>
    </row>
    <row r="27" spans="2:12" x14ac:dyDescent="0.35">
      <c r="B27" s="69" t="s">
        <v>328</v>
      </c>
      <c r="C27" s="14">
        <v>10.625</v>
      </c>
      <c r="D27" s="70" t="s">
        <v>248</v>
      </c>
      <c r="E27" s="71" t="s">
        <v>252</v>
      </c>
      <c r="F27" s="72">
        <v>46004</v>
      </c>
      <c r="G27" s="72"/>
      <c r="H27" s="73">
        <v>6471.7000000000007</v>
      </c>
      <c r="I27" s="17">
        <v>3439</v>
      </c>
      <c r="J27" s="74">
        <v>400</v>
      </c>
      <c r="K27" s="75" t="s">
        <v>267</v>
      </c>
      <c r="L27" s="76"/>
    </row>
    <row r="28" spans="2:12" x14ac:dyDescent="0.35">
      <c r="B28" s="69" t="s">
        <v>328</v>
      </c>
      <c r="C28" s="14">
        <v>10.625</v>
      </c>
      <c r="D28" s="70" t="s">
        <v>248</v>
      </c>
      <c r="E28" s="71" t="s">
        <v>252</v>
      </c>
      <c r="F28" s="72">
        <v>45998</v>
      </c>
      <c r="G28" s="72"/>
      <c r="H28" s="73">
        <v>3908.1</v>
      </c>
      <c r="I28" s="17">
        <v>3439</v>
      </c>
      <c r="J28" s="74">
        <v>400</v>
      </c>
      <c r="K28" s="75" t="s">
        <v>266</v>
      </c>
      <c r="L28" s="76"/>
    </row>
    <row r="29" spans="2:12" x14ac:dyDescent="0.35">
      <c r="B29" s="69" t="s">
        <v>328</v>
      </c>
      <c r="C29" s="14">
        <v>10.625</v>
      </c>
      <c r="D29" s="70" t="s">
        <v>248</v>
      </c>
      <c r="E29" s="71" t="s">
        <v>256</v>
      </c>
      <c r="F29" s="72">
        <v>45990</v>
      </c>
      <c r="G29" s="72"/>
      <c r="H29" s="73">
        <v>9047</v>
      </c>
      <c r="I29" s="17">
        <v>3439</v>
      </c>
      <c r="J29" s="74">
        <v>400</v>
      </c>
      <c r="K29" s="75" t="s">
        <v>273</v>
      </c>
      <c r="L29" s="76"/>
    </row>
    <row r="30" spans="2:12" x14ac:dyDescent="0.35">
      <c r="B30" s="69" t="s">
        <v>328</v>
      </c>
      <c r="C30" s="14">
        <v>10.625</v>
      </c>
      <c r="D30" s="70" t="s">
        <v>248</v>
      </c>
      <c r="E30" s="71" t="s">
        <v>252</v>
      </c>
      <c r="F30" s="72">
        <v>45990</v>
      </c>
      <c r="G30" s="72"/>
      <c r="H30" s="73">
        <v>3158.7</v>
      </c>
      <c r="I30" s="17">
        <v>3439</v>
      </c>
      <c r="J30" s="74">
        <v>400</v>
      </c>
      <c r="K30" s="75" t="s">
        <v>274</v>
      </c>
      <c r="L30" s="76"/>
    </row>
    <row r="31" spans="2:12" x14ac:dyDescent="0.35">
      <c r="B31" s="69" t="s">
        <v>328</v>
      </c>
      <c r="C31" s="14">
        <v>10.625</v>
      </c>
      <c r="D31" s="70" t="s">
        <v>248</v>
      </c>
      <c r="E31" s="71" t="s">
        <v>252</v>
      </c>
      <c r="F31" s="72">
        <v>45982</v>
      </c>
      <c r="G31" s="72"/>
      <c r="H31" s="73">
        <v>10763.9</v>
      </c>
      <c r="I31" s="17">
        <v>3439</v>
      </c>
      <c r="J31" s="74">
        <v>400</v>
      </c>
      <c r="K31" s="75" t="s">
        <v>275</v>
      </c>
      <c r="L31" s="76"/>
    </row>
    <row r="32" spans="2:12" x14ac:dyDescent="0.35">
      <c r="B32" s="69" t="s">
        <v>328</v>
      </c>
      <c r="C32" s="14">
        <v>10.625</v>
      </c>
      <c r="D32" s="70" t="s">
        <v>248</v>
      </c>
      <c r="E32" s="71" t="s">
        <v>276</v>
      </c>
      <c r="F32" s="72">
        <v>45980</v>
      </c>
      <c r="G32" s="72">
        <v>45995</v>
      </c>
      <c r="H32" s="73">
        <v>4029.1000000000004</v>
      </c>
      <c r="I32" s="17">
        <v>3439</v>
      </c>
      <c r="J32" s="74">
        <v>400</v>
      </c>
      <c r="K32" s="75" t="s">
        <v>266</v>
      </c>
      <c r="L32" s="76"/>
    </row>
    <row r="33" spans="2:12" x14ac:dyDescent="0.35">
      <c r="B33" s="69" t="s">
        <v>328</v>
      </c>
      <c r="C33" s="14">
        <v>10.625</v>
      </c>
      <c r="D33" s="70" t="s">
        <v>248</v>
      </c>
      <c r="E33" s="71" t="s">
        <v>256</v>
      </c>
      <c r="F33" s="72">
        <v>45978</v>
      </c>
      <c r="G33" s="72"/>
      <c r="H33" s="73">
        <v>9119.4</v>
      </c>
      <c r="I33" s="17">
        <v>3439</v>
      </c>
      <c r="J33" s="74">
        <v>400</v>
      </c>
      <c r="K33" s="75" t="s">
        <v>269</v>
      </c>
      <c r="L33" s="76"/>
    </row>
    <row r="34" spans="2:12" x14ac:dyDescent="0.35">
      <c r="B34" s="69" t="s">
        <v>328</v>
      </c>
      <c r="C34" s="14">
        <v>10.625</v>
      </c>
      <c r="D34" s="70" t="s">
        <v>248</v>
      </c>
      <c r="E34" s="71" t="s">
        <v>276</v>
      </c>
      <c r="F34" s="72">
        <v>45977</v>
      </c>
      <c r="G34" s="72">
        <v>45980</v>
      </c>
      <c r="H34" s="73">
        <v>2843.2000000000003</v>
      </c>
      <c r="I34" s="17">
        <v>3439</v>
      </c>
      <c r="J34" s="74">
        <v>400</v>
      </c>
      <c r="K34" s="75" t="s">
        <v>266</v>
      </c>
      <c r="L34" s="76"/>
    </row>
    <row r="35" spans="2:12" x14ac:dyDescent="0.35">
      <c r="B35" s="69" t="s">
        <v>328</v>
      </c>
      <c r="C35" s="14">
        <v>10.625</v>
      </c>
      <c r="D35" s="70" t="s">
        <v>248</v>
      </c>
      <c r="E35" s="71" t="s">
        <v>256</v>
      </c>
      <c r="F35" s="72">
        <v>45970</v>
      </c>
      <c r="G35" s="72">
        <v>45978</v>
      </c>
      <c r="H35" s="73">
        <v>6144.8</v>
      </c>
      <c r="I35" s="17">
        <v>3439</v>
      </c>
      <c r="J35" s="74">
        <v>400</v>
      </c>
      <c r="K35" s="75" t="s">
        <v>277</v>
      </c>
      <c r="L35" s="76"/>
    </row>
    <row r="36" spans="2:12" x14ac:dyDescent="0.35">
      <c r="B36" s="69" t="s">
        <v>328</v>
      </c>
      <c r="C36" s="14">
        <v>10.625</v>
      </c>
      <c r="D36" s="70" t="s">
        <v>248</v>
      </c>
      <c r="E36" s="71" t="s">
        <v>249</v>
      </c>
      <c r="F36" s="72">
        <v>45967</v>
      </c>
      <c r="G36" s="72"/>
      <c r="H36" s="73">
        <v>6694</v>
      </c>
      <c r="I36" s="17">
        <v>3439</v>
      </c>
      <c r="J36" s="74">
        <v>400</v>
      </c>
      <c r="K36" s="75" t="s">
        <v>265</v>
      </c>
      <c r="L36" s="76"/>
    </row>
    <row r="37" spans="2:12" x14ac:dyDescent="0.35">
      <c r="B37" s="69" t="s">
        <v>328</v>
      </c>
      <c r="C37" s="14">
        <v>10.625</v>
      </c>
      <c r="D37" s="70" t="s">
        <v>248</v>
      </c>
      <c r="E37" s="71" t="s">
        <v>276</v>
      </c>
      <c r="F37" s="72">
        <v>45956</v>
      </c>
      <c r="G37" s="72">
        <v>45977</v>
      </c>
      <c r="H37" s="73">
        <v>3271.1000000000004</v>
      </c>
      <c r="I37" s="17">
        <v>3439</v>
      </c>
      <c r="J37" s="74">
        <v>400</v>
      </c>
      <c r="K37" s="75" t="s">
        <v>266</v>
      </c>
      <c r="L37" s="76"/>
    </row>
    <row r="38" spans="2:12" x14ac:dyDescent="0.35">
      <c r="B38" s="69" t="s">
        <v>328</v>
      </c>
      <c r="C38" s="14">
        <v>10.625</v>
      </c>
      <c r="D38" s="70" t="s">
        <v>248</v>
      </c>
      <c r="E38" s="71" t="s">
        <v>271</v>
      </c>
      <c r="F38" s="72">
        <v>45953</v>
      </c>
      <c r="G38" s="72"/>
      <c r="H38" s="73">
        <v>9239.1</v>
      </c>
      <c r="I38" s="17">
        <v>3439</v>
      </c>
      <c r="J38" s="74">
        <v>400</v>
      </c>
      <c r="K38" s="75" t="s">
        <v>278</v>
      </c>
      <c r="L38" s="76"/>
    </row>
    <row r="39" spans="2:12" x14ac:dyDescent="0.35">
      <c r="B39" s="69" t="s">
        <v>328</v>
      </c>
      <c r="C39" s="14">
        <v>10.625</v>
      </c>
      <c r="D39" s="70" t="s">
        <v>251</v>
      </c>
      <c r="E39" s="71" t="s">
        <v>252</v>
      </c>
      <c r="F39" s="72">
        <v>45944</v>
      </c>
      <c r="G39" s="72"/>
      <c r="H39" s="73">
        <v>6229.4000000000005</v>
      </c>
      <c r="I39" s="17">
        <v>3439</v>
      </c>
      <c r="J39" s="74">
        <v>300</v>
      </c>
      <c r="K39" s="75" t="s">
        <v>262</v>
      </c>
      <c r="L39" s="76"/>
    </row>
    <row r="40" spans="2:12" x14ac:dyDescent="0.35">
      <c r="B40" s="69" t="s">
        <v>328</v>
      </c>
      <c r="C40" s="14">
        <v>10.625</v>
      </c>
      <c r="D40" s="70" t="s">
        <v>248</v>
      </c>
      <c r="E40" s="71" t="s">
        <v>279</v>
      </c>
      <c r="F40" s="72">
        <v>45943</v>
      </c>
      <c r="G40" s="72"/>
      <c r="H40" s="73">
        <v>13137.6</v>
      </c>
      <c r="I40" s="17">
        <v>3439</v>
      </c>
      <c r="J40" s="74">
        <v>400</v>
      </c>
      <c r="K40" s="75" t="s">
        <v>280</v>
      </c>
      <c r="L40" s="76"/>
    </row>
    <row r="41" spans="2:12" x14ac:dyDescent="0.35">
      <c r="B41" s="69" t="s">
        <v>328</v>
      </c>
      <c r="C41" s="14">
        <v>10.625</v>
      </c>
      <c r="D41" s="70" t="s">
        <v>251</v>
      </c>
      <c r="E41" s="71" t="s">
        <v>256</v>
      </c>
      <c r="F41" s="72">
        <v>45942</v>
      </c>
      <c r="G41" s="72"/>
      <c r="H41" s="73">
        <v>5330.8</v>
      </c>
      <c r="I41" s="17">
        <v>3439</v>
      </c>
      <c r="J41" s="74">
        <v>300</v>
      </c>
      <c r="K41" s="75" t="s">
        <v>281</v>
      </c>
      <c r="L41" s="76"/>
    </row>
    <row r="42" spans="2:12" x14ac:dyDescent="0.35">
      <c r="B42" s="69" t="s">
        <v>328</v>
      </c>
      <c r="C42" s="14">
        <v>10.625</v>
      </c>
      <c r="D42" s="70" t="s">
        <v>248</v>
      </c>
      <c r="E42" s="71" t="s">
        <v>279</v>
      </c>
      <c r="F42" s="72">
        <v>45939</v>
      </c>
      <c r="G42" s="72"/>
      <c r="H42" s="73">
        <v>7436.9</v>
      </c>
      <c r="I42" s="17">
        <v>3439</v>
      </c>
      <c r="J42" s="74">
        <v>400</v>
      </c>
      <c r="K42" s="75" t="s">
        <v>280</v>
      </c>
      <c r="L42" s="76"/>
    </row>
    <row r="43" spans="2:12" x14ac:dyDescent="0.35">
      <c r="B43" s="69" t="s">
        <v>328</v>
      </c>
      <c r="C43" s="14">
        <v>10.625</v>
      </c>
      <c r="D43" s="70" t="s">
        <v>248</v>
      </c>
      <c r="E43" s="71" t="s">
        <v>279</v>
      </c>
      <c r="F43" s="72">
        <v>45926</v>
      </c>
      <c r="G43" s="72"/>
      <c r="H43" s="73">
        <v>10076.9</v>
      </c>
      <c r="I43" s="17">
        <v>3439</v>
      </c>
      <c r="J43" s="74">
        <v>400</v>
      </c>
      <c r="K43" s="75" t="s">
        <v>270</v>
      </c>
      <c r="L43" s="76"/>
    </row>
    <row r="44" spans="2:12" x14ac:dyDescent="0.35">
      <c r="B44" s="69" t="s">
        <v>328</v>
      </c>
      <c r="C44" s="14">
        <v>10.625</v>
      </c>
      <c r="D44" s="70" t="s">
        <v>248</v>
      </c>
      <c r="E44" s="71" t="s">
        <v>256</v>
      </c>
      <c r="F44" s="72">
        <v>45922</v>
      </c>
      <c r="G44" s="72"/>
      <c r="H44" s="73">
        <v>10053.400000000001</v>
      </c>
      <c r="I44" s="17">
        <v>3439</v>
      </c>
      <c r="J44" s="74">
        <v>400</v>
      </c>
      <c r="K44" s="75" t="s">
        <v>269</v>
      </c>
      <c r="L44" s="76"/>
    </row>
    <row r="45" spans="2:12" x14ac:dyDescent="0.35">
      <c r="B45" s="69" t="s">
        <v>328</v>
      </c>
      <c r="C45" s="14">
        <v>10.625</v>
      </c>
      <c r="D45" s="70" t="s">
        <v>251</v>
      </c>
      <c r="E45" s="71" t="s">
        <v>279</v>
      </c>
      <c r="F45" s="72">
        <v>45918</v>
      </c>
      <c r="G45" s="72"/>
      <c r="H45" s="73">
        <v>7150.1</v>
      </c>
      <c r="I45" s="17">
        <v>3439</v>
      </c>
      <c r="J45" s="74">
        <v>300</v>
      </c>
      <c r="K45" s="75" t="s">
        <v>270</v>
      </c>
      <c r="L45" s="76"/>
    </row>
    <row r="46" spans="2:12" x14ac:dyDescent="0.35">
      <c r="B46" s="69" t="s">
        <v>328</v>
      </c>
      <c r="C46" s="14">
        <v>10.625</v>
      </c>
      <c r="D46" s="70" t="s">
        <v>248</v>
      </c>
      <c r="E46" s="84" t="s">
        <v>252</v>
      </c>
      <c r="F46" s="72">
        <v>45910</v>
      </c>
      <c r="G46" s="72">
        <v>45936</v>
      </c>
      <c r="H46" s="73">
        <v>11113</v>
      </c>
      <c r="I46" s="17">
        <v>3439</v>
      </c>
      <c r="J46" s="74">
        <v>400</v>
      </c>
      <c r="K46" s="75" t="s">
        <v>282</v>
      </c>
      <c r="L46" s="76" t="s">
        <v>254</v>
      </c>
    </row>
    <row r="47" spans="2:12" x14ac:dyDescent="0.35">
      <c r="B47" s="69" t="s">
        <v>328</v>
      </c>
      <c r="C47" s="14">
        <v>10.625</v>
      </c>
      <c r="D47" s="70" t="s">
        <v>248</v>
      </c>
      <c r="E47" s="71" t="s">
        <v>256</v>
      </c>
      <c r="F47" s="72">
        <v>45905</v>
      </c>
      <c r="G47" s="72"/>
      <c r="H47" s="73">
        <v>6645</v>
      </c>
      <c r="I47" s="17">
        <v>3439</v>
      </c>
      <c r="J47" s="74">
        <v>400</v>
      </c>
      <c r="K47" s="75" t="s">
        <v>269</v>
      </c>
      <c r="L47" s="76"/>
    </row>
    <row r="48" spans="2:12" x14ac:dyDescent="0.35">
      <c r="B48" s="69" t="s">
        <v>328</v>
      </c>
      <c r="C48" s="14">
        <v>10.625</v>
      </c>
      <c r="D48" s="70" t="s">
        <v>251</v>
      </c>
      <c r="E48" s="71" t="s">
        <v>279</v>
      </c>
      <c r="F48" s="72">
        <v>45897</v>
      </c>
      <c r="G48" s="72"/>
      <c r="H48" s="73">
        <v>2987.2</v>
      </c>
      <c r="I48" s="17">
        <v>3439</v>
      </c>
      <c r="J48" s="74">
        <v>300</v>
      </c>
      <c r="K48" s="75" t="s">
        <v>270</v>
      </c>
      <c r="L48" s="76"/>
    </row>
    <row r="49" spans="2:12" x14ac:dyDescent="0.35">
      <c r="B49" s="69" t="s">
        <v>328</v>
      </c>
      <c r="C49" s="14">
        <v>10.625</v>
      </c>
      <c r="D49" s="70" t="s">
        <v>251</v>
      </c>
      <c r="E49" s="71" t="s">
        <v>283</v>
      </c>
      <c r="F49" s="72">
        <v>45894</v>
      </c>
      <c r="G49" s="72"/>
      <c r="H49" s="73">
        <v>11425.1</v>
      </c>
      <c r="I49" s="17">
        <v>3439</v>
      </c>
      <c r="J49" s="74">
        <v>300</v>
      </c>
      <c r="K49" s="75" t="s">
        <v>284</v>
      </c>
      <c r="L49" s="76"/>
    </row>
    <row r="50" spans="2:12" x14ac:dyDescent="0.35">
      <c r="B50" s="69" t="s">
        <v>328</v>
      </c>
      <c r="C50" s="14">
        <v>10.625</v>
      </c>
      <c r="D50" s="70" t="s">
        <v>248</v>
      </c>
      <c r="E50" s="71" t="s">
        <v>249</v>
      </c>
      <c r="F50" s="72">
        <v>45892</v>
      </c>
      <c r="G50" s="72">
        <v>45917</v>
      </c>
      <c r="H50" s="73">
        <v>15338.3</v>
      </c>
      <c r="I50" s="17">
        <v>3439</v>
      </c>
      <c r="J50" s="74">
        <v>400</v>
      </c>
      <c r="K50" s="75" t="s">
        <v>285</v>
      </c>
      <c r="L50" s="76" t="s">
        <v>254</v>
      </c>
    </row>
    <row r="51" spans="2:12" x14ac:dyDescent="0.35">
      <c r="B51" s="69" t="s">
        <v>328</v>
      </c>
      <c r="C51" s="14">
        <v>10.625</v>
      </c>
      <c r="D51" s="14" t="s">
        <v>248</v>
      </c>
      <c r="E51" s="85" t="s">
        <v>252</v>
      </c>
      <c r="F51" s="86">
        <v>45885</v>
      </c>
      <c r="G51" s="86"/>
      <c r="H51" s="16">
        <v>9567.2999999999993</v>
      </c>
      <c r="I51" s="17">
        <v>3439</v>
      </c>
      <c r="J51" s="74">
        <v>400</v>
      </c>
      <c r="K51" s="14" t="s">
        <v>270</v>
      </c>
      <c r="L51" s="14"/>
    </row>
    <row r="52" spans="2:12" x14ac:dyDescent="0.35">
      <c r="B52" s="69" t="s">
        <v>328</v>
      </c>
      <c r="C52" s="14">
        <v>10.625</v>
      </c>
      <c r="D52" s="14" t="s">
        <v>251</v>
      </c>
      <c r="E52" s="85" t="s">
        <v>256</v>
      </c>
      <c r="F52" s="86">
        <v>45883</v>
      </c>
      <c r="G52" s="86">
        <v>45893</v>
      </c>
      <c r="H52" s="16">
        <v>7705</v>
      </c>
      <c r="I52" s="17">
        <v>3439</v>
      </c>
      <c r="J52" s="74">
        <v>300</v>
      </c>
      <c r="K52" s="14" t="s">
        <v>278</v>
      </c>
      <c r="L52" s="18" t="s">
        <v>254</v>
      </c>
    </row>
    <row r="53" spans="2:12" x14ac:dyDescent="0.35">
      <c r="B53" s="69" t="s">
        <v>328</v>
      </c>
      <c r="C53" s="14">
        <v>10.625</v>
      </c>
      <c r="D53" s="14" t="s">
        <v>251</v>
      </c>
      <c r="E53" s="85" t="s">
        <v>279</v>
      </c>
      <c r="F53" s="86">
        <v>45880</v>
      </c>
      <c r="G53" s="86"/>
      <c r="H53" s="16">
        <v>5971.1</v>
      </c>
      <c r="I53" s="17">
        <v>3439</v>
      </c>
      <c r="J53" s="74">
        <v>300</v>
      </c>
      <c r="K53" s="14" t="s">
        <v>270</v>
      </c>
      <c r="L53" s="14"/>
    </row>
    <row r="54" spans="2:12" x14ac:dyDescent="0.35">
      <c r="B54" s="69" t="s">
        <v>328</v>
      </c>
      <c r="C54" s="14">
        <v>10.625</v>
      </c>
      <c r="D54" s="14" t="s">
        <v>248</v>
      </c>
      <c r="E54" s="85" t="s">
        <v>256</v>
      </c>
      <c r="F54" s="86">
        <v>45875</v>
      </c>
      <c r="G54" s="86"/>
      <c r="H54" s="16">
        <v>8206</v>
      </c>
      <c r="I54" s="17">
        <v>3439</v>
      </c>
      <c r="J54" s="74">
        <v>400</v>
      </c>
      <c r="K54" s="14" t="s">
        <v>278</v>
      </c>
      <c r="L54" s="14"/>
    </row>
    <row r="55" spans="2:12" x14ac:dyDescent="0.35">
      <c r="B55" s="69" t="s">
        <v>328</v>
      </c>
      <c r="C55" s="14">
        <v>10.625</v>
      </c>
      <c r="D55" s="14" t="s">
        <v>251</v>
      </c>
      <c r="E55" s="85" t="s">
        <v>249</v>
      </c>
      <c r="F55" s="86">
        <v>45875</v>
      </c>
      <c r="G55" s="86">
        <v>45892</v>
      </c>
      <c r="H55" s="16">
        <v>6956</v>
      </c>
      <c r="I55" s="17">
        <v>3439</v>
      </c>
      <c r="J55" s="74">
        <v>300</v>
      </c>
      <c r="K55" s="14" t="s">
        <v>278</v>
      </c>
      <c r="L55" s="14" t="s">
        <v>254</v>
      </c>
    </row>
    <row r="56" spans="2:12" x14ac:dyDescent="0.35">
      <c r="B56" s="69" t="s">
        <v>328</v>
      </c>
      <c r="C56" s="14">
        <v>10.625</v>
      </c>
      <c r="D56" s="14" t="s">
        <v>251</v>
      </c>
      <c r="E56" s="85" t="s">
        <v>256</v>
      </c>
      <c r="F56" s="86">
        <v>45868</v>
      </c>
      <c r="G56" s="86">
        <v>45874</v>
      </c>
      <c r="H56" s="16">
        <v>5761</v>
      </c>
      <c r="I56" s="17">
        <v>3439</v>
      </c>
      <c r="J56" s="74">
        <v>300</v>
      </c>
      <c r="K56" s="14" t="s">
        <v>286</v>
      </c>
      <c r="L56" s="14" t="s">
        <v>254</v>
      </c>
    </row>
    <row r="57" spans="2:12" x14ac:dyDescent="0.35">
      <c r="B57" s="69" t="s">
        <v>328</v>
      </c>
      <c r="C57" s="14">
        <v>10.625</v>
      </c>
      <c r="D57" s="14" t="s">
        <v>248</v>
      </c>
      <c r="E57" s="85" t="s">
        <v>252</v>
      </c>
      <c r="F57" s="86">
        <v>45865</v>
      </c>
      <c r="G57" s="86">
        <v>45885</v>
      </c>
      <c r="H57" s="16">
        <v>9419</v>
      </c>
      <c r="I57" s="17">
        <v>3439</v>
      </c>
      <c r="J57" s="74">
        <v>400</v>
      </c>
      <c r="K57" s="14" t="s">
        <v>270</v>
      </c>
      <c r="L57" s="14" t="s">
        <v>254</v>
      </c>
    </row>
    <row r="58" spans="2:12" x14ac:dyDescent="0.35">
      <c r="B58" s="69" t="s">
        <v>328</v>
      </c>
      <c r="C58" s="14">
        <v>10.625</v>
      </c>
      <c r="D58" s="14" t="s">
        <v>251</v>
      </c>
      <c r="E58" s="85" t="s">
        <v>256</v>
      </c>
      <c r="F58" s="86">
        <v>45860</v>
      </c>
      <c r="G58" s="86"/>
      <c r="H58" s="16">
        <v>6559</v>
      </c>
      <c r="I58" s="17">
        <v>3439</v>
      </c>
      <c r="J58" s="74">
        <v>300</v>
      </c>
      <c r="K58" s="14" t="s">
        <v>287</v>
      </c>
      <c r="L58" s="14" t="s">
        <v>254</v>
      </c>
    </row>
    <row r="59" spans="2:12" x14ac:dyDescent="0.35">
      <c r="B59" s="69" t="s">
        <v>328</v>
      </c>
      <c r="C59" s="14">
        <v>10.625</v>
      </c>
      <c r="D59" s="14" t="s">
        <v>251</v>
      </c>
      <c r="E59" s="85" t="s">
        <v>252</v>
      </c>
      <c r="F59" s="86">
        <v>45853</v>
      </c>
      <c r="G59" s="86"/>
      <c r="H59" s="16">
        <v>7754</v>
      </c>
      <c r="I59" s="17">
        <v>3439</v>
      </c>
      <c r="J59" s="74">
        <v>300</v>
      </c>
      <c r="K59" s="14" t="s">
        <v>288</v>
      </c>
      <c r="L59" s="14"/>
    </row>
    <row r="60" spans="2:12" x14ac:dyDescent="0.35">
      <c r="B60" s="69" t="s">
        <v>328</v>
      </c>
      <c r="C60" s="14">
        <v>10.625</v>
      </c>
      <c r="D60" s="14" t="s">
        <v>251</v>
      </c>
      <c r="E60" s="85" t="s">
        <v>256</v>
      </c>
      <c r="F60" s="86">
        <v>45843</v>
      </c>
      <c r="G60" s="86"/>
      <c r="H60" s="16">
        <v>5599.8</v>
      </c>
      <c r="I60" s="17">
        <v>3439</v>
      </c>
      <c r="J60" s="74">
        <v>300</v>
      </c>
      <c r="K60" s="14" t="s">
        <v>289</v>
      </c>
      <c r="L60" s="14"/>
    </row>
    <row r="61" spans="2:12" x14ac:dyDescent="0.35">
      <c r="B61" s="69" t="s">
        <v>328</v>
      </c>
      <c r="C61" s="14">
        <v>10.625</v>
      </c>
      <c r="D61" s="14" t="s">
        <v>248</v>
      </c>
      <c r="E61" s="85" t="s">
        <v>249</v>
      </c>
      <c r="F61" s="86">
        <v>45843</v>
      </c>
      <c r="G61" s="86"/>
      <c r="H61" s="16">
        <v>6489</v>
      </c>
      <c r="I61" s="17">
        <v>3439</v>
      </c>
      <c r="J61" s="74">
        <v>400</v>
      </c>
      <c r="K61" s="14" t="s">
        <v>287</v>
      </c>
      <c r="L61" s="14"/>
    </row>
    <row r="62" spans="2:12" x14ac:dyDescent="0.35">
      <c r="B62" s="69" t="s">
        <v>328</v>
      </c>
      <c r="C62" s="14">
        <v>10.625</v>
      </c>
      <c r="D62" s="14" t="s">
        <v>248</v>
      </c>
      <c r="E62" s="85" t="s">
        <v>252</v>
      </c>
      <c r="F62" s="86">
        <v>45842</v>
      </c>
      <c r="G62" s="86"/>
      <c r="H62" s="16">
        <v>8475.7999999999993</v>
      </c>
      <c r="I62" s="17">
        <v>3439</v>
      </c>
      <c r="J62" s="74">
        <v>400</v>
      </c>
      <c r="K62" s="14" t="s">
        <v>290</v>
      </c>
      <c r="L62" s="14"/>
    </row>
    <row r="63" spans="2:12" x14ac:dyDescent="0.35">
      <c r="B63" s="69" t="s">
        <v>328</v>
      </c>
      <c r="C63" s="14">
        <v>10.625</v>
      </c>
      <c r="D63" s="14" t="s">
        <v>248</v>
      </c>
      <c r="E63" s="85" t="s">
        <v>279</v>
      </c>
      <c r="F63" s="86">
        <v>45838</v>
      </c>
      <c r="G63" s="86">
        <v>45880</v>
      </c>
      <c r="H63" s="16">
        <v>6170</v>
      </c>
      <c r="I63" s="17">
        <v>3439</v>
      </c>
      <c r="J63" s="74">
        <v>400</v>
      </c>
      <c r="K63" s="14" t="s">
        <v>270</v>
      </c>
      <c r="L63" s="14"/>
    </row>
    <row r="64" spans="2:12" x14ac:dyDescent="0.35">
      <c r="B64" s="69" t="s">
        <v>328</v>
      </c>
      <c r="C64" s="14">
        <v>10.625</v>
      </c>
      <c r="D64" s="14" t="s">
        <v>251</v>
      </c>
      <c r="E64" s="85" t="s">
        <v>256</v>
      </c>
      <c r="F64" s="86">
        <v>45833</v>
      </c>
      <c r="G64" s="86"/>
      <c r="H64" s="16">
        <v>4315</v>
      </c>
      <c r="I64" s="17">
        <v>3439</v>
      </c>
      <c r="J64" s="74">
        <v>300</v>
      </c>
      <c r="K64" s="14" t="s">
        <v>291</v>
      </c>
      <c r="L64" s="14"/>
    </row>
    <row r="65" spans="2:12" x14ac:dyDescent="0.35">
      <c r="B65" s="69" t="s">
        <v>328</v>
      </c>
      <c r="C65" s="14">
        <v>10.625</v>
      </c>
      <c r="D65" s="14" t="s">
        <v>251</v>
      </c>
      <c r="E65" s="85" t="s">
        <v>279</v>
      </c>
      <c r="F65" s="86">
        <v>45832</v>
      </c>
      <c r="G65" s="86"/>
      <c r="H65" s="16">
        <v>9522</v>
      </c>
      <c r="I65" s="17">
        <v>3439</v>
      </c>
      <c r="J65" s="74">
        <v>300</v>
      </c>
      <c r="K65" s="14" t="s">
        <v>270</v>
      </c>
      <c r="L65" s="14" t="s">
        <v>254</v>
      </c>
    </row>
    <row r="66" spans="2:12" x14ac:dyDescent="0.35">
      <c r="B66" s="69" t="s">
        <v>328</v>
      </c>
      <c r="C66" s="14">
        <v>10.625</v>
      </c>
      <c r="D66" s="14" t="s">
        <v>248</v>
      </c>
      <c r="E66" s="85" t="s">
        <v>252</v>
      </c>
      <c r="F66" s="86">
        <v>45828</v>
      </c>
      <c r="G66" s="86"/>
      <c r="H66" s="16">
        <v>6128.6</v>
      </c>
      <c r="I66" s="17">
        <v>3439</v>
      </c>
      <c r="J66" s="74">
        <v>400</v>
      </c>
      <c r="K66" s="14" t="s">
        <v>292</v>
      </c>
      <c r="L66" s="14"/>
    </row>
    <row r="67" spans="2:12" x14ac:dyDescent="0.35">
      <c r="B67" s="69" t="s">
        <v>328</v>
      </c>
      <c r="C67" s="14">
        <v>10.625</v>
      </c>
      <c r="D67" s="14" t="s">
        <v>251</v>
      </c>
      <c r="E67" s="85" t="s">
        <v>276</v>
      </c>
      <c r="F67" s="86">
        <v>45826</v>
      </c>
      <c r="G67" s="86">
        <v>45887</v>
      </c>
      <c r="H67" s="16">
        <v>11282.7</v>
      </c>
      <c r="I67" s="17">
        <v>3439</v>
      </c>
      <c r="J67" s="74">
        <v>300</v>
      </c>
      <c r="K67" s="14" t="s">
        <v>293</v>
      </c>
      <c r="L67" s="14"/>
    </row>
    <row r="68" spans="2:12" x14ac:dyDescent="0.35">
      <c r="B68" s="69" t="s">
        <v>328</v>
      </c>
      <c r="C68" s="14">
        <v>10.625</v>
      </c>
      <c r="D68" s="14" t="s">
        <v>251</v>
      </c>
      <c r="E68" s="85" t="s">
        <v>256</v>
      </c>
      <c r="F68" s="86">
        <v>45823</v>
      </c>
      <c r="G68" s="86"/>
      <c r="H68" s="16">
        <v>5290</v>
      </c>
      <c r="I68" s="17">
        <v>3439</v>
      </c>
      <c r="J68" s="74">
        <v>300</v>
      </c>
      <c r="K68" s="14" t="s">
        <v>291</v>
      </c>
      <c r="L68" s="14"/>
    </row>
    <row r="69" spans="2:12" x14ac:dyDescent="0.35">
      <c r="B69" s="69" t="s">
        <v>328</v>
      </c>
      <c r="C69" s="14">
        <v>10.625</v>
      </c>
      <c r="D69" s="14" t="s">
        <v>248</v>
      </c>
      <c r="E69" s="85" t="s">
        <v>252</v>
      </c>
      <c r="F69" s="86">
        <v>45820</v>
      </c>
      <c r="G69" s="86"/>
      <c r="H69" s="16">
        <v>5510</v>
      </c>
      <c r="I69" s="17">
        <v>3439</v>
      </c>
      <c r="J69" s="74">
        <v>400</v>
      </c>
      <c r="K69" s="14" t="s">
        <v>262</v>
      </c>
      <c r="L69" s="14"/>
    </row>
    <row r="70" spans="2:12" x14ac:dyDescent="0.35">
      <c r="B70" s="69" t="s">
        <v>328</v>
      </c>
      <c r="C70" s="14">
        <v>10.625</v>
      </c>
      <c r="D70" s="14" t="s">
        <v>248</v>
      </c>
      <c r="E70" s="85" t="s">
        <v>249</v>
      </c>
      <c r="F70" s="86">
        <v>45816</v>
      </c>
      <c r="G70" s="86">
        <v>45843</v>
      </c>
      <c r="H70" s="16">
        <v>7031</v>
      </c>
      <c r="I70" s="17">
        <v>3439</v>
      </c>
      <c r="J70" s="74">
        <v>400</v>
      </c>
      <c r="K70" s="14" t="s">
        <v>287</v>
      </c>
      <c r="L70" s="14" t="s">
        <v>254</v>
      </c>
    </row>
    <row r="71" spans="2:12" x14ac:dyDescent="0.35">
      <c r="B71" s="69" t="s">
        <v>328</v>
      </c>
      <c r="C71" s="14">
        <v>10.625</v>
      </c>
      <c r="D71" s="14" t="s">
        <v>248</v>
      </c>
      <c r="E71" s="85" t="s">
        <v>279</v>
      </c>
      <c r="F71" s="86">
        <v>45811</v>
      </c>
      <c r="G71" s="86"/>
      <c r="H71" s="16">
        <v>19483</v>
      </c>
      <c r="I71" s="17">
        <v>3439</v>
      </c>
      <c r="J71" s="74">
        <v>400</v>
      </c>
      <c r="K71" s="14" t="s">
        <v>270</v>
      </c>
      <c r="L71" s="14"/>
    </row>
    <row r="72" spans="2:12" x14ac:dyDescent="0.35">
      <c r="B72" s="69" t="s">
        <v>328</v>
      </c>
      <c r="C72" s="14">
        <v>10.625</v>
      </c>
      <c r="D72" s="14" t="s">
        <v>248</v>
      </c>
      <c r="E72" s="85" t="s">
        <v>252</v>
      </c>
      <c r="F72" s="86">
        <v>45806</v>
      </c>
      <c r="G72" s="86"/>
      <c r="H72" s="16">
        <v>7592</v>
      </c>
      <c r="I72" s="17">
        <v>3439</v>
      </c>
      <c r="J72" s="74">
        <v>400</v>
      </c>
      <c r="K72" s="14" t="s">
        <v>265</v>
      </c>
      <c r="L72" s="14"/>
    </row>
    <row r="73" spans="2:12" x14ac:dyDescent="0.35">
      <c r="B73" s="69" t="s">
        <v>328</v>
      </c>
      <c r="C73" s="14">
        <v>10.625</v>
      </c>
      <c r="D73" s="14" t="s">
        <v>248</v>
      </c>
      <c r="E73" s="85" t="s">
        <v>252</v>
      </c>
      <c r="F73" s="86">
        <v>45804</v>
      </c>
      <c r="G73" s="86">
        <v>46178</v>
      </c>
      <c r="H73" s="16">
        <v>3632.4</v>
      </c>
      <c r="I73" s="17">
        <v>3439</v>
      </c>
      <c r="J73" s="74">
        <v>400</v>
      </c>
      <c r="K73" s="14" t="s">
        <v>270</v>
      </c>
      <c r="L73" s="14" t="s">
        <v>254</v>
      </c>
    </row>
    <row r="74" spans="2:12" x14ac:dyDescent="0.35">
      <c r="B74" s="69" t="s">
        <v>328</v>
      </c>
      <c r="C74" s="14">
        <v>10.625</v>
      </c>
      <c r="D74" s="14" t="s">
        <v>251</v>
      </c>
      <c r="E74" s="85" t="s">
        <v>256</v>
      </c>
      <c r="F74" s="86">
        <v>45804</v>
      </c>
      <c r="G74" s="86">
        <v>45823</v>
      </c>
      <c r="H74" s="16">
        <v>8563</v>
      </c>
      <c r="I74" s="17">
        <v>3439</v>
      </c>
      <c r="J74" s="74">
        <v>300</v>
      </c>
      <c r="K74" s="14" t="s">
        <v>294</v>
      </c>
      <c r="L74" s="14" t="s">
        <v>254</v>
      </c>
    </row>
    <row r="75" spans="2:12" x14ac:dyDescent="0.35">
      <c r="B75" s="69" t="s">
        <v>328</v>
      </c>
      <c r="C75" s="14">
        <v>10.625</v>
      </c>
      <c r="D75" s="14" t="s">
        <v>251</v>
      </c>
      <c r="E75" s="85" t="s">
        <v>256</v>
      </c>
      <c r="F75" s="86">
        <v>45802</v>
      </c>
      <c r="G75" s="86"/>
      <c r="H75" s="16">
        <v>6164</v>
      </c>
      <c r="I75" s="17">
        <v>3439</v>
      </c>
      <c r="J75" s="74">
        <v>300</v>
      </c>
      <c r="K75" s="14" t="s">
        <v>295</v>
      </c>
      <c r="L75" s="14"/>
    </row>
    <row r="76" spans="2:12" x14ac:dyDescent="0.35">
      <c r="B76" s="69" t="s">
        <v>328</v>
      </c>
      <c r="C76" s="14">
        <v>10.625</v>
      </c>
      <c r="D76" s="14" t="s">
        <v>248</v>
      </c>
      <c r="E76" s="85" t="s">
        <v>252</v>
      </c>
      <c r="F76" s="86">
        <v>45792</v>
      </c>
      <c r="G76" s="86">
        <v>45806</v>
      </c>
      <c r="H76" s="16">
        <v>6193.6</v>
      </c>
      <c r="I76" s="17">
        <v>3439</v>
      </c>
      <c r="J76" s="74">
        <v>400</v>
      </c>
      <c r="K76" s="14" t="s">
        <v>269</v>
      </c>
      <c r="L76" s="14" t="s">
        <v>254</v>
      </c>
    </row>
    <row r="77" spans="2:12" x14ac:dyDescent="0.35">
      <c r="B77" s="69" t="s">
        <v>328</v>
      </c>
      <c r="C77" s="14">
        <v>10.625</v>
      </c>
      <c r="D77" s="14" t="s">
        <v>251</v>
      </c>
      <c r="E77" s="85" t="s">
        <v>249</v>
      </c>
      <c r="F77" s="86">
        <v>45784</v>
      </c>
      <c r="G77" s="86"/>
      <c r="H77" s="16">
        <v>4150.7</v>
      </c>
      <c r="I77" s="17">
        <v>3439</v>
      </c>
      <c r="J77" s="74">
        <v>300</v>
      </c>
      <c r="K77" s="14" t="s">
        <v>289</v>
      </c>
      <c r="L77" s="14"/>
    </row>
    <row r="78" spans="2:12" x14ac:dyDescent="0.35">
      <c r="B78" s="69" t="s">
        <v>328</v>
      </c>
      <c r="C78" s="14">
        <v>10.625</v>
      </c>
      <c r="D78" s="14" t="s">
        <v>248</v>
      </c>
      <c r="E78" s="85" t="s">
        <v>256</v>
      </c>
      <c r="F78" s="86">
        <v>45776</v>
      </c>
      <c r="G78" s="86"/>
      <c r="H78" s="16">
        <v>10198</v>
      </c>
      <c r="I78" s="17">
        <v>3439</v>
      </c>
      <c r="J78" s="74">
        <v>400</v>
      </c>
      <c r="K78" s="14" t="s">
        <v>296</v>
      </c>
      <c r="L78" s="14"/>
    </row>
    <row r="79" spans="2:12" x14ac:dyDescent="0.35">
      <c r="B79" s="69" t="s">
        <v>328</v>
      </c>
      <c r="C79" s="14">
        <v>10.625</v>
      </c>
      <c r="D79" s="14" t="s">
        <v>251</v>
      </c>
      <c r="E79" s="85" t="s">
        <v>249</v>
      </c>
      <c r="F79" s="86">
        <v>45776</v>
      </c>
      <c r="G79" s="86">
        <v>45784</v>
      </c>
      <c r="H79" s="16">
        <v>3849</v>
      </c>
      <c r="I79" s="17">
        <v>3439</v>
      </c>
      <c r="J79" s="74">
        <v>300</v>
      </c>
      <c r="K79" s="14" t="s">
        <v>297</v>
      </c>
      <c r="L79" s="14" t="s">
        <v>254</v>
      </c>
    </row>
    <row r="80" spans="2:12" x14ac:dyDescent="0.35">
      <c r="B80" s="69" t="s">
        <v>328</v>
      </c>
      <c r="C80" s="14">
        <v>10.625</v>
      </c>
      <c r="D80" s="14" t="s">
        <v>248</v>
      </c>
      <c r="E80" s="85" t="s">
        <v>256</v>
      </c>
      <c r="F80" s="86">
        <v>45770</v>
      </c>
      <c r="G80" s="86"/>
      <c r="H80" s="16">
        <v>6894</v>
      </c>
      <c r="I80" s="17">
        <v>3439</v>
      </c>
      <c r="J80" s="74">
        <v>400</v>
      </c>
      <c r="K80" s="14" t="s">
        <v>278</v>
      </c>
      <c r="L80" s="14"/>
    </row>
    <row r="81" spans="2:12" x14ac:dyDescent="0.35">
      <c r="B81" s="69" t="s">
        <v>328</v>
      </c>
      <c r="C81" s="14">
        <v>10.625</v>
      </c>
      <c r="D81" s="14" t="s">
        <v>251</v>
      </c>
      <c r="E81" s="85" t="s">
        <v>256</v>
      </c>
      <c r="F81" s="86">
        <v>45762</v>
      </c>
      <c r="G81" s="86">
        <v>45770</v>
      </c>
      <c r="H81" s="16">
        <v>5383</v>
      </c>
      <c r="I81" s="17">
        <v>3439</v>
      </c>
      <c r="J81" s="74">
        <v>300</v>
      </c>
      <c r="K81" s="14" t="s">
        <v>289</v>
      </c>
      <c r="L81" s="14"/>
    </row>
    <row r="82" spans="2:12" x14ac:dyDescent="0.35">
      <c r="B82" s="69" t="s">
        <v>328</v>
      </c>
      <c r="C82" s="14">
        <v>10.625</v>
      </c>
      <c r="D82" s="14" t="s">
        <v>248</v>
      </c>
      <c r="E82" s="85" t="s">
        <v>249</v>
      </c>
      <c r="F82" s="86">
        <v>45762</v>
      </c>
      <c r="G82" s="86"/>
      <c r="H82" s="16">
        <v>7525</v>
      </c>
      <c r="I82" s="17">
        <v>3439</v>
      </c>
      <c r="J82" s="74">
        <v>400</v>
      </c>
      <c r="K82" s="14" t="s">
        <v>255</v>
      </c>
      <c r="L82" s="14"/>
    </row>
    <row r="83" spans="2:12" x14ac:dyDescent="0.35">
      <c r="B83" s="69" t="s">
        <v>328</v>
      </c>
      <c r="C83" s="14">
        <v>10.625</v>
      </c>
      <c r="D83" s="14" t="s">
        <v>248</v>
      </c>
      <c r="E83" s="85" t="s">
        <v>249</v>
      </c>
      <c r="F83" s="86">
        <v>45745</v>
      </c>
      <c r="G83" s="86"/>
      <c r="H83" s="16">
        <v>8562</v>
      </c>
      <c r="I83" s="17">
        <v>3439</v>
      </c>
      <c r="J83" s="74">
        <v>400</v>
      </c>
      <c r="K83" s="14" t="s">
        <v>298</v>
      </c>
      <c r="L83" s="14"/>
    </row>
    <row r="84" spans="2:12" x14ac:dyDescent="0.35">
      <c r="B84" s="69" t="s">
        <v>328</v>
      </c>
      <c r="C84" s="14">
        <v>10.625</v>
      </c>
      <c r="D84" s="14" t="s">
        <v>251</v>
      </c>
      <c r="E84" s="85" t="s">
        <v>252</v>
      </c>
      <c r="F84" s="86">
        <v>45741</v>
      </c>
      <c r="G84" s="86"/>
      <c r="H84" s="16">
        <v>9412.4</v>
      </c>
      <c r="I84" s="17">
        <v>3439</v>
      </c>
      <c r="J84" s="74">
        <v>300</v>
      </c>
      <c r="K84" s="14" t="s">
        <v>299</v>
      </c>
      <c r="L84" s="14"/>
    </row>
    <row r="85" spans="2:12" x14ac:dyDescent="0.35">
      <c r="B85" s="69" t="s">
        <v>328</v>
      </c>
      <c r="C85" s="14">
        <v>10.625</v>
      </c>
      <c r="D85" s="14" t="s">
        <v>248</v>
      </c>
      <c r="E85" s="85" t="s">
        <v>256</v>
      </c>
      <c r="F85" s="86">
        <v>45738</v>
      </c>
      <c r="G85" s="86"/>
      <c r="H85" s="16">
        <v>6147</v>
      </c>
      <c r="I85" s="17">
        <v>3439</v>
      </c>
      <c r="J85" s="74">
        <v>400</v>
      </c>
      <c r="K85" s="14" t="s">
        <v>300</v>
      </c>
      <c r="L85" s="14" t="s">
        <v>254</v>
      </c>
    </row>
    <row r="86" spans="2:12" x14ac:dyDescent="0.35">
      <c r="B86" s="69" t="s">
        <v>328</v>
      </c>
      <c r="C86" s="14">
        <v>10.625</v>
      </c>
      <c r="D86" s="14" t="s">
        <v>248</v>
      </c>
      <c r="E86" s="85" t="s">
        <v>249</v>
      </c>
      <c r="F86" s="86">
        <v>45730</v>
      </c>
      <c r="G86" s="86">
        <v>45745</v>
      </c>
      <c r="H86" s="16">
        <v>8561</v>
      </c>
      <c r="I86" s="17">
        <v>3439</v>
      </c>
      <c r="J86" s="74">
        <v>400</v>
      </c>
      <c r="K86" s="14" t="s">
        <v>290</v>
      </c>
      <c r="L86" s="14" t="s">
        <v>254</v>
      </c>
    </row>
    <row r="87" spans="2:12" x14ac:dyDescent="0.35">
      <c r="B87" s="69" t="s">
        <v>328</v>
      </c>
      <c r="C87" s="14">
        <v>10.625</v>
      </c>
      <c r="D87" s="14" t="s">
        <v>248</v>
      </c>
      <c r="E87" s="85" t="s">
        <v>256</v>
      </c>
      <c r="F87" s="86">
        <v>45727</v>
      </c>
      <c r="G87" s="86"/>
      <c r="H87" s="16">
        <v>11030</v>
      </c>
      <c r="I87" s="17">
        <v>3439</v>
      </c>
      <c r="J87" s="74">
        <v>400</v>
      </c>
      <c r="K87" s="14" t="s">
        <v>287</v>
      </c>
      <c r="L87" s="14"/>
    </row>
    <row r="88" spans="2:12" x14ac:dyDescent="0.35">
      <c r="B88" s="69" t="s">
        <v>328</v>
      </c>
      <c r="C88" s="14">
        <v>10.625</v>
      </c>
      <c r="D88" s="14" t="s">
        <v>248</v>
      </c>
      <c r="E88" s="85" t="s">
        <v>249</v>
      </c>
      <c r="F88" s="86">
        <v>45721</v>
      </c>
      <c r="G88" s="86"/>
      <c r="H88" s="16">
        <v>7521</v>
      </c>
      <c r="I88" s="17">
        <v>3439</v>
      </c>
      <c r="J88" s="74">
        <v>400</v>
      </c>
      <c r="K88" s="14" t="s">
        <v>301</v>
      </c>
      <c r="L88" s="14"/>
    </row>
    <row r="89" spans="2:12" x14ac:dyDescent="0.35">
      <c r="B89" s="69" t="s">
        <v>328</v>
      </c>
      <c r="C89" s="14">
        <v>10.625</v>
      </c>
      <c r="D89" s="14" t="s">
        <v>251</v>
      </c>
      <c r="E89" s="85" t="s">
        <v>249</v>
      </c>
      <c r="F89" s="86">
        <v>45714</v>
      </c>
      <c r="G89" s="86">
        <v>45721</v>
      </c>
      <c r="H89" s="16">
        <v>4733</v>
      </c>
      <c r="I89" s="17">
        <v>3439</v>
      </c>
      <c r="J89" s="74">
        <v>300</v>
      </c>
      <c r="K89" s="14" t="s">
        <v>269</v>
      </c>
      <c r="L89" s="14" t="s">
        <v>254</v>
      </c>
    </row>
    <row r="90" spans="2:12" x14ac:dyDescent="0.35">
      <c r="B90" s="69" t="s">
        <v>328</v>
      </c>
      <c r="C90" s="14">
        <v>10.625</v>
      </c>
      <c r="D90" s="14" t="s">
        <v>251</v>
      </c>
      <c r="E90" s="85" t="s">
        <v>249</v>
      </c>
      <c r="F90" s="86">
        <v>45707</v>
      </c>
      <c r="G90" s="86"/>
      <c r="H90" s="16">
        <v>7588.3</v>
      </c>
      <c r="I90" s="17">
        <v>3439</v>
      </c>
      <c r="J90" s="74">
        <v>300</v>
      </c>
      <c r="K90" s="14" t="s">
        <v>302</v>
      </c>
      <c r="L90" s="14"/>
    </row>
    <row r="91" spans="2:12" x14ac:dyDescent="0.35">
      <c r="B91" s="69" t="s">
        <v>328</v>
      </c>
      <c r="C91" s="14">
        <v>10.625</v>
      </c>
      <c r="D91" s="14" t="s">
        <v>251</v>
      </c>
      <c r="E91" s="85" t="s">
        <v>276</v>
      </c>
      <c r="F91" s="86">
        <v>45702</v>
      </c>
      <c r="G91" s="86">
        <v>45708</v>
      </c>
      <c r="H91" s="16">
        <v>4278.2999999999993</v>
      </c>
      <c r="I91" s="17">
        <v>3439</v>
      </c>
      <c r="J91" s="74">
        <v>300</v>
      </c>
      <c r="K91" s="14" t="s">
        <v>300</v>
      </c>
      <c r="L91" s="14"/>
    </row>
    <row r="92" spans="2:12" x14ac:dyDescent="0.35">
      <c r="B92" s="69" t="s">
        <v>328</v>
      </c>
      <c r="C92" s="14">
        <v>10.625</v>
      </c>
      <c r="D92" s="14" t="s">
        <v>248</v>
      </c>
      <c r="E92" s="85" t="s">
        <v>256</v>
      </c>
      <c r="F92" s="86">
        <v>45700</v>
      </c>
      <c r="G92" s="86">
        <v>45712</v>
      </c>
      <c r="H92" s="16">
        <v>8437</v>
      </c>
      <c r="I92" s="17">
        <v>3439</v>
      </c>
      <c r="J92" s="74">
        <v>400</v>
      </c>
      <c r="K92" s="14" t="s">
        <v>255</v>
      </c>
      <c r="L92" s="14" t="s">
        <v>254</v>
      </c>
    </row>
    <row r="93" spans="2:12" x14ac:dyDescent="0.35">
      <c r="B93" s="69" t="s">
        <v>328</v>
      </c>
      <c r="C93" s="14">
        <v>10.625</v>
      </c>
      <c r="D93" s="14" t="s">
        <v>251</v>
      </c>
      <c r="E93" s="85" t="s">
        <v>276</v>
      </c>
      <c r="F93" s="86">
        <v>45694</v>
      </c>
      <c r="G93" s="86">
        <v>45702</v>
      </c>
      <c r="H93" s="16">
        <v>4537.2</v>
      </c>
      <c r="I93" s="17">
        <v>3439</v>
      </c>
      <c r="J93" s="74">
        <v>300</v>
      </c>
      <c r="K93" s="14" t="s">
        <v>300</v>
      </c>
      <c r="L93" s="14" t="s">
        <v>254</v>
      </c>
    </row>
    <row r="94" spans="2:12" x14ac:dyDescent="0.35">
      <c r="B94" s="69" t="s">
        <v>328</v>
      </c>
      <c r="C94" s="14">
        <v>10.625</v>
      </c>
      <c r="D94" s="14" t="s">
        <v>251</v>
      </c>
      <c r="E94" s="85" t="s">
        <v>249</v>
      </c>
      <c r="F94" s="86">
        <v>45659</v>
      </c>
      <c r="G94" s="86"/>
      <c r="H94" s="16">
        <v>6461.8</v>
      </c>
      <c r="I94" s="17">
        <v>3439</v>
      </c>
      <c r="J94" s="74">
        <v>300</v>
      </c>
      <c r="K94" s="14" t="s">
        <v>278</v>
      </c>
      <c r="L94" s="14"/>
    </row>
  </sheetData>
  <conditionalFormatting sqref="E2">
    <cfRule type="duplicateValues" dxfId="1" priority="2"/>
  </conditionalFormatting>
  <conditionalFormatting sqref="E14 E4 E6 E8 E10 E12">
    <cfRule type="duplicateValues" dxfId="0" priority="1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F338A-A004-47B6-A5BE-85D2514F585C}">
  <dimension ref="B2:L26"/>
  <sheetViews>
    <sheetView tabSelected="1" workbookViewId="0">
      <selection activeCell="F11" sqref="F11"/>
    </sheetView>
  </sheetViews>
  <sheetFormatPr defaultColWidth="12.453125" defaultRowHeight="16" x14ac:dyDescent="0.4"/>
  <cols>
    <col min="1" max="1" width="12.453125" style="36"/>
    <col min="2" max="2" width="10.36328125" style="36" bestFit="1" customWidth="1"/>
    <col min="3" max="3" width="12.36328125" style="36" bestFit="1" customWidth="1"/>
    <col min="4" max="4" width="16.36328125" style="36" bestFit="1" customWidth="1"/>
    <col min="5" max="5" width="16.90625" style="36" bestFit="1" customWidth="1"/>
    <col min="6" max="6" width="14.6328125" style="36" bestFit="1" customWidth="1"/>
    <col min="7" max="7" width="12" style="36" bestFit="1" customWidth="1"/>
    <col min="8" max="8" width="15.36328125" style="36" bestFit="1" customWidth="1"/>
    <col min="9" max="9" width="14.453125" style="36" bestFit="1" customWidth="1"/>
    <col min="10" max="10" width="9.453125" style="36" bestFit="1" customWidth="1"/>
    <col min="11" max="11" width="14.08984375" style="36" bestFit="1" customWidth="1"/>
    <col min="12" max="16384" width="12.453125" style="36"/>
  </cols>
  <sheetData>
    <row r="2" spans="2:12" ht="31" x14ac:dyDescent="0.4">
      <c r="B2" s="33" t="s">
        <v>303</v>
      </c>
      <c r="C2" s="34" t="s">
        <v>304</v>
      </c>
      <c r="D2" s="34" t="s">
        <v>305</v>
      </c>
      <c r="E2" s="34" t="s">
        <v>306</v>
      </c>
      <c r="F2" s="34" t="s">
        <v>307</v>
      </c>
      <c r="G2" s="34" t="s">
        <v>308</v>
      </c>
      <c r="H2" s="34" t="s">
        <v>309</v>
      </c>
      <c r="I2" s="34" t="s">
        <v>310</v>
      </c>
      <c r="J2" s="34" t="s">
        <v>246</v>
      </c>
      <c r="K2" s="35" t="s">
        <v>311</v>
      </c>
      <c r="L2" s="34" t="s">
        <v>312</v>
      </c>
    </row>
    <row r="3" spans="2:12" x14ac:dyDescent="0.4">
      <c r="B3" s="37">
        <v>2026</v>
      </c>
      <c r="C3" s="37" t="s">
        <v>313</v>
      </c>
      <c r="D3" s="37">
        <v>583</v>
      </c>
      <c r="E3" s="38">
        <v>46032</v>
      </c>
      <c r="F3" s="38">
        <v>46069</v>
      </c>
      <c r="G3" s="37" t="s">
        <v>322</v>
      </c>
      <c r="H3" s="39">
        <v>9.875</v>
      </c>
      <c r="I3" s="40">
        <v>6963</v>
      </c>
      <c r="J3" s="41">
        <v>94</v>
      </c>
      <c r="K3" s="42">
        <v>296</v>
      </c>
      <c r="L3" s="43">
        <v>3100</v>
      </c>
    </row>
    <row r="4" spans="2:12" x14ac:dyDescent="0.4">
      <c r="B4" s="37">
        <v>2026</v>
      </c>
      <c r="C4" s="37" t="s">
        <v>314</v>
      </c>
      <c r="D4" s="37">
        <v>583</v>
      </c>
      <c r="E4" s="38">
        <v>46070</v>
      </c>
      <c r="F4" s="38">
        <v>46076</v>
      </c>
      <c r="G4" s="37" t="s">
        <v>322</v>
      </c>
      <c r="H4" s="39">
        <v>9.875</v>
      </c>
      <c r="I4" s="40">
        <v>3875</v>
      </c>
      <c r="J4" s="41">
        <v>86</v>
      </c>
      <c r="K4" s="42">
        <v>296</v>
      </c>
      <c r="L4" s="43">
        <v>3100</v>
      </c>
    </row>
    <row r="5" spans="2:12" x14ac:dyDescent="0.4">
      <c r="B5" s="37">
        <v>2026</v>
      </c>
      <c r="C5" s="37" t="s">
        <v>314</v>
      </c>
      <c r="D5" s="37">
        <v>583</v>
      </c>
      <c r="E5" s="38">
        <v>46076</v>
      </c>
      <c r="F5" s="38">
        <v>46090</v>
      </c>
      <c r="G5" s="37" t="s">
        <v>322</v>
      </c>
      <c r="H5" s="39">
        <v>9.875</v>
      </c>
      <c r="I5" s="40">
        <v>11513</v>
      </c>
      <c r="J5" s="41">
        <v>86</v>
      </c>
      <c r="K5" s="42">
        <v>296</v>
      </c>
      <c r="L5" s="43">
        <v>3100</v>
      </c>
    </row>
    <row r="6" spans="2:12" x14ac:dyDescent="0.4">
      <c r="B6" s="37">
        <v>2026</v>
      </c>
      <c r="C6" s="37" t="s">
        <v>315</v>
      </c>
      <c r="D6" s="37">
        <v>583</v>
      </c>
      <c r="E6" s="38">
        <v>46091</v>
      </c>
      <c r="F6" s="38">
        <v>46109</v>
      </c>
      <c r="G6" s="37" t="s">
        <v>322</v>
      </c>
      <c r="H6" s="39">
        <v>9.875</v>
      </c>
      <c r="I6" s="40">
        <v>12674</v>
      </c>
      <c r="J6" s="41">
        <v>73</v>
      </c>
      <c r="K6" s="42">
        <v>296</v>
      </c>
      <c r="L6" s="43">
        <v>3100</v>
      </c>
    </row>
    <row r="7" spans="2:12" x14ac:dyDescent="0.4">
      <c r="B7" s="37">
        <v>2026</v>
      </c>
      <c r="C7" s="37" t="s">
        <v>315</v>
      </c>
      <c r="D7" s="37">
        <v>583</v>
      </c>
      <c r="E7" s="38">
        <v>46109</v>
      </c>
      <c r="F7" s="38">
        <v>46129</v>
      </c>
      <c r="G7" s="37" t="s">
        <v>322</v>
      </c>
      <c r="H7" s="39">
        <v>9.875</v>
      </c>
      <c r="I7" s="40">
        <v>10579</v>
      </c>
      <c r="J7" s="41">
        <v>89</v>
      </c>
      <c r="K7" s="42">
        <v>296</v>
      </c>
      <c r="L7" s="43">
        <v>3100</v>
      </c>
    </row>
    <row r="8" spans="2:12" x14ac:dyDescent="0.4">
      <c r="B8" s="37">
        <v>2026</v>
      </c>
      <c r="C8" s="37" t="s">
        <v>316</v>
      </c>
      <c r="D8" s="37">
        <v>583</v>
      </c>
      <c r="E8" s="38">
        <v>46129</v>
      </c>
      <c r="F8" s="38">
        <v>46139</v>
      </c>
      <c r="G8" s="37" t="s">
        <v>322</v>
      </c>
      <c r="H8" s="39">
        <v>9.875</v>
      </c>
      <c r="I8" s="40">
        <v>7610</v>
      </c>
      <c r="J8" s="41">
        <v>87</v>
      </c>
      <c r="K8" s="42">
        <v>296</v>
      </c>
      <c r="L8" s="43">
        <v>3100</v>
      </c>
    </row>
    <row r="9" spans="2:12" x14ac:dyDescent="0.4">
      <c r="B9" s="37">
        <v>2026</v>
      </c>
      <c r="C9" s="37" t="s">
        <v>316</v>
      </c>
      <c r="D9" s="37">
        <v>583</v>
      </c>
      <c r="E9" s="38">
        <v>46140</v>
      </c>
      <c r="F9" s="38">
        <v>46147</v>
      </c>
      <c r="G9" s="37" t="s">
        <v>322</v>
      </c>
      <c r="H9" s="39">
        <v>9.875</v>
      </c>
      <c r="I9" s="40">
        <v>5287</v>
      </c>
      <c r="J9" s="41">
        <v>95</v>
      </c>
      <c r="K9" s="42">
        <v>296</v>
      </c>
      <c r="L9" s="43">
        <v>3100</v>
      </c>
    </row>
    <row r="10" spans="2:12" x14ac:dyDescent="0.4">
      <c r="B10" s="37">
        <v>2026</v>
      </c>
      <c r="C10" s="37" t="s">
        <v>317</v>
      </c>
      <c r="D10" s="37">
        <v>583</v>
      </c>
      <c r="E10" s="38">
        <v>46147</v>
      </c>
      <c r="F10" s="38">
        <v>46156</v>
      </c>
      <c r="G10" s="37" t="s">
        <v>322</v>
      </c>
      <c r="H10" s="39">
        <v>9.875</v>
      </c>
      <c r="I10" s="40">
        <v>4858</v>
      </c>
      <c r="J10" s="41">
        <v>79</v>
      </c>
      <c r="K10" s="42">
        <v>296</v>
      </c>
      <c r="L10" s="43">
        <v>3100</v>
      </c>
    </row>
    <row r="11" spans="2:12" x14ac:dyDescent="0.4">
      <c r="B11" s="37">
        <v>2026</v>
      </c>
      <c r="C11" s="37" t="s">
        <v>317</v>
      </c>
      <c r="D11" s="37">
        <v>583</v>
      </c>
      <c r="E11" s="38">
        <v>46156</v>
      </c>
      <c r="F11" s="38">
        <v>46167</v>
      </c>
      <c r="G11" s="37" t="s">
        <v>322</v>
      </c>
      <c r="H11" s="39">
        <v>9.875</v>
      </c>
      <c r="I11" s="40">
        <v>7512</v>
      </c>
      <c r="J11" s="41">
        <v>81</v>
      </c>
      <c r="K11" s="42">
        <v>296</v>
      </c>
      <c r="L11" s="43">
        <v>3100</v>
      </c>
    </row>
    <row r="12" spans="2:12" x14ac:dyDescent="0.4">
      <c r="B12" s="37">
        <v>2026</v>
      </c>
      <c r="C12" s="37" t="s">
        <v>317</v>
      </c>
      <c r="D12" s="37">
        <v>583</v>
      </c>
      <c r="E12" s="38">
        <v>46167</v>
      </c>
      <c r="F12" s="38">
        <v>46182</v>
      </c>
      <c r="G12" s="37" t="s">
        <v>322</v>
      </c>
      <c r="H12" s="39">
        <v>9.875</v>
      </c>
      <c r="I12" s="40">
        <v>6405</v>
      </c>
      <c r="J12" s="41">
        <v>82</v>
      </c>
      <c r="K12" s="42">
        <v>296</v>
      </c>
      <c r="L12" s="43">
        <v>3100</v>
      </c>
    </row>
    <row r="13" spans="2:12" x14ac:dyDescent="0.4">
      <c r="B13" s="37">
        <v>2026</v>
      </c>
      <c r="C13" s="37" t="s">
        <v>318</v>
      </c>
      <c r="D13" s="37">
        <v>583</v>
      </c>
      <c r="E13" s="38">
        <v>46183</v>
      </c>
      <c r="F13" s="38">
        <v>46194</v>
      </c>
      <c r="G13" s="37" t="s">
        <v>321</v>
      </c>
      <c r="H13" s="39">
        <v>9.875</v>
      </c>
      <c r="I13" s="40">
        <v>5822</v>
      </c>
      <c r="J13" s="41">
        <v>84</v>
      </c>
      <c r="K13" s="42">
        <v>296</v>
      </c>
      <c r="L13" s="43">
        <v>2850</v>
      </c>
    </row>
    <row r="14" spans="2:12" x14ac:dyDescent="0.4">
      <c r="B14" s="37">
        <v>2026</v>
      </c>
      <c r="C14" s="37" t="s">
        <v>318</v>
      </c>
      <c r="D14" s="37">
        <v>583</v>
      </c>
      <c r="E14" s="38">
        <v>46194</v>
      </c>
      <c r="F14" s="38">
        <v>46207</v>
      </c>
      <c r="G14" s="37" t="s">
        <v>321</v>
      </c>
      <c r="H14" s="39">
        <v>9.875</v>
      </c>
      <c r="I14" s="40">
        <v>8272</v>
      </c>
      <c r="J14" s="41">
        <v>91</v>
      </c>
      <c r="K14" s="42">
        <v>296</v>
      </c>
      <c r="L14" s="43">
        <v>2850</v>
      </c>
    </row>
    <row r="15" spans="2:12" ht="16.25" customHeight="1" x14ac:dyDescent="0.4">
      <c r="B15" s="37">
        <v>2026</v>
      </c>
      <c r="C15" s="37" t="s">
        <v>319</v>
      </c>
      <c r="D15" s="37">
        <v>583</v>
      </c>
      <c r="E15" s="38">
        <v>46207</v>
      </c>
      <c r="F15" s="38">
        <v>46223</v>
      </c>
      <c r="G15" s="37" t="s">
        <v>321</v>
      </c>
      <c r="H15" s="39">
        <v>9.875</v>
      </c>
      <c r="I15" s="40">
        <v>8411</v>
      </c>
      <c r="J15" s="41">
        <v>78</v>
      </c>
      <c r="K15" s="42">
        <v>296</v>
      </c>
      <c r="L15" s="43">
        <v>2850</v>
      </c>
    </row>
    <row r="16" spans="2:12" x14ac:dyDescent="0.4">
      <c r="B16" s="37">
        <v>2026</v>
      </c>
      <c r="C16" s="37" t="s">
        <v>313</v>
      </c>
      <c r="D16" s="37">
        <v>584</v>
      </c>
      <c r="E16" s="38">
        <v>46031</v>
      </c>
      <c r="F16" s="38">
        <v>46045</v>
      </c>
      <c r="G16" s="37" t="s">
        <v>322</v>
      </c>
      <c r="H16" s="39">
        <v>10.625</v>
      </c>
      <c r="I16" s="40">
        <v>12594</v>
      </c>
      <c r="J16" s="41">
        <v>84.8</v>
      </c>
      <c r="K16" s="42">
        <v>169</v>
      </c>
      <c r="L16" s="43">
        <v>3350</v>
      </c>
    </row>
    <row r="17" spans="2:12" x14ac:dyDescent="0.4">
      <c r="B17" s="37">
        <v>2026</v>
      </c>
      <c r="C17" s="37" t="s">
        <v>313</v>
      </c>
      <c r="D17" s="37">
        <v>584</v>
      </c>
      <c r="E17" s="38">
        <v>46046</v>
      </c>
      <c r="F17" s="38">
        <v>46054</v>
      </c>
      <c r="G17" s="37" t="s">
        <v>322</v>
      </c>
      <c r="H17" s="39">
        <v>10.625</v>
      </c>
      <c r="I17" s="40">
        <v>7737</v>
      </c>
      <c r="J17" s="41">
        <v>78</v>
      </c>
      <c r="K17" s="42">
        <v>169</v>
      </c>
      <c r="L17" s="43">
        <v>3350</v>
      </c>
    </row>
    <row r="18" spans="2:12" x14ac:dyDescent="0.4">
      <c r="B18" s="37">
        <v>2026</v>
      </c>
      <c r="C18" s="37" t="s">
        <v>314</v>
      </c>
      <c r="D18" s="37">
        <v>584</v>
      </c>
      <c r="E18" s="38">
        <v>46055</v>
      </c>
      <c r="F18" s="38">
        <v>46066</v>
      </c>
      <c r="G18" s="37" t="s">
        <v>322</v>
      </c>
      <c r="H18" s="39">
        <v>10.625</v>
      </c>
      <c r="I18" s="40">
        <v>11784</v>
      </c>
      <c r="J18" s="41">
        <v>85.9</v>
      </c>
      <c r="K18" s="42">
        <v>169</v>
      </c>
      <c r="L18" s="43">
        <v>3350</v>
      </c>
    </row>
    <row r="19" spans="2:12" x14ac:dyDescent="0.4">
      <c r="B19" s="37">
        <v>2026</v>
      </c>
      <c r="C19" s="37" t="s">
        <v>314</v>
      </c>
      <c r="D19" s="37">
        <v>584</v>
      </c>
      <c r="E19" s="38">
        <v>46067</v>
      </c>
      <c r="F19" s="38">
        <v>46096</v>
      </c>
      <c r="G19" s="37" t="s">
        <v>322</v>
      </c>
      <c r="H19" s="39">
        <v>10.625</v>
      </c>
      <c r="I19" s="40">
        <v>13554</v>
      </c>
      <c r="J19" s="41">
        <v>85.1</v>
      </c>
      <c r="K19" s="42">
        <v>169</v>
      </c>
      <c r="L19" s="43">
        <v>3350</v>
      </c>
    </row>
    <row r="20" spans="2:12" x14ac:dyDescent="0.4">
      <c r="B20" s="37">
        <v>2026</v>
      </c>
      <c r="C20" s="37" t="s">
        <v>315</v>
      </c>
      <c r="D20" s="37">
        <v>584</v>
      </c>
      <c r="E20" s="38">
        <v>46097</v>
      </c>
      <c r="F20" s="38">
        <v>46129</v>
      </c>
      <c r="G20" s="37" t="s">
        <v>322</v>
      </c>
      <c r="H20" s="39">
        <v>10.625</v>
      </c>
      <c r="I20" s="40">
        <v>11886</v>
      </c>
      <c r="J20" s="41">
        <v>84.9</v>
      </c>
      <c r="K20" s="42">
        <v>169</v>
      </c>
      <c r="L20" s="43">
        <v>3350</v>
      </c>
    </row>
    <row r="21" spans="2:12" x14ac:dyDescent="0.4">
      <c r="B21" s="37">
        <v>2026</v>
      </c>
      <c r="C21" s="37" t="s">
        <v>316</v>
      </c>
      <c r="D21" s="37">
        <v>584</v>
      </c>
      <c r="E21" s="38">
        <v>46129</v>
      </c>
      <c r="F21" s="38">
        <v>46136</v>
      </c>
      <c r="G21" s="37" t="s">
        <v>322</v>
      </c>
      <c r="H21" s="39">
        <v>10.625</v>
      </c>
      <c r="I21" s="40">
        <v>9678</v>
      </c>
      <c r="J21" s="41">
        <v>82.9</v>
      </c>
      <c r="K21" s="42">
        <v>169</v>
      </c>
      <c r="L21" s="43">
        <v>3350</v>
      </c>
    </row>
    <row r="22" spans="2:12" x14ac:dyDescent="0.4">
      <c r="B22" s="37">
        <v>2026</v>
      </c>
      <c r="C22" s="37" t="s">
        <v>316</v>
      </c>
      <c r="D22" s="37">
        <v>584</v>
      </c>
      <c r="E22" s="38">
        <v>46138</v>
      </c>
      <c r="F22" s="38">
        <v>46163</v>
      </c>
      <c r="G22" s="37" t="s">
        <v>322</v>
      </c>
      <c r="H22" s="39">
        <v>10.625</v>
      </c>
      <c r="I22" s="40">
        <v>15360</v>
      </c>
      <c r="J22" s="41">
        <v>53</v>
      </c>
      <c r="K22" s="42">
        <v>169</v>
      </c>
      <c r="L22" s="43">
        <v>3350</v>
      </c>
    </row>
    <row r="23" spans="2:12" x14ac:dyDescent="0.4">
      <c r="B23" s="37">
        <v>2026</v>
      </c>
      <c r="C23" s="37" t="s">
        <v>317</v>
      </c>
      <c r="D23" s="37">
        <v>584</v>
      </c>
      <c r="E23" s="38">
        <v>46163</v>
      </c>
      <c r="F23" s="38">
        <v>46173</v>
      </c>
      <c r="G23" s="37" t="s">
        <v>322</v>
      </c>
      <c r="H23" s="39">
        <v>10.625</v>
      </c>
      <c r="I23" s="40">
        <v>5646</v>
      </c>
      <c r="J23" s="41">
        <v>96.7</v>
      </c>
      <c r="K23" s="42">
        <v>169</v>
      </c>
      <c r="L23" s="43">
        <v>3350</v>
      </c>
    </row>
    <row r="24" spans="2:12" x14ac:dyDescent="0.4">
      <c r="B24" s="37">
        <v>2026</v>
      </c>
      <c r="C24" s="37" t="s">
        <v>318</v>
      </c>
      <c r="D24" s="37">
        <v>584</v>
      </c>
      <c r="E24" s="38">
        <v>46174</v>
      </c>
      <c r="F24" s="38">
        <v>46184</v>
      </c>
      <c r="G24" s="37" t="s">
        <v>322</v>
      </c>
      <c r="H24" s="39">
        <v>10.625</v>
      </c>
      <c r="I24" s="40">
        <v>7220</v>
      </c>
      <c r="J24" s="41">
        <v>89.5</v>
      </c>
      <c r="K24" s="42">
        <v>169</v>
      </c>
      <c r="L24" s="43">
        <v>3350</v>
      </c>
    </row>
    <row r="25" spans="2:12" x14ac:dyDescent="0.4">
      <c r="B25" s="37">
        <v>2026</v>
      </c>
      <c r="C25" s="37" t="s">
        <v>318</v>
      </c>
      <c r="D25" s="37">
        <v>584</v>
      </c>
      <c r="E25" s="38">
        <v>46184</v>
      </c>
      <c r="F25" s="38">
        <v>46203</v>
      </c>
      <c r="G25" s="37" t="s">
        <v>321</v>
      </c>
      <c r="H25" s="39">
        <v>10.625</v>
      </c>
      <c r="I25" s="40">
        <v>10424</v>
      </c>
      <c r="J25" s="41">
        <v>80.8</v>
      </c>
      <c r="K25" s="42">
        <v>169</v>
      </c>
      <c r="L25" s="43">
        <v>3200</v>
      </c>
    </row>
    <row r="26" spans="2:12" x14ac:dyDescent="0.4">
      <c r="B26" s="37">
        <v>2026</v>
      </c>
      <c r="C26" s="37" t="s">
        <v>318</v>
      </c>
      <c r="D26" s="37">
        <v>584</v>
      </c>
      <c r="E26" s="38">
        <v>46203</v>
      </c>
      <c r="F26" s="38">
        <v>46221</v>
      </c>
      <c r="G26" s="37" t="s">
        <v>321</v>
      </c>
      <c r="H26" s="39">
        <v>10.625</v>
      </c>
      <c r="I26" s="40">
        <v>10966</v>
      </c>
      <c r="J26" s="41">
        <v>84.1</v>
      </c>
      <c r="K26" s="42">
        <v>169</v>
      </c>
      <c r="L26" s="43">
        <v>3200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0cde9-a283-43a6-952b-8d8efbacdac1" xsi:nil="true"/>
    <lcf76f155ced4ddcb4097134ff3c332f xmlns="f690eb7d-6c16-466b-b5b6-aacc5206a53e">
      <Terms xmlns="http://schemas.microsoft.com/office/infopath/2007/PartnerControls"/>
    </lcf76f155ced4ddcb4097134ff3c332f>
    <_dlc_DocId xmlns="ebc0cde9-a283-43a6-952b-8d8efbacdac1">WWT6XQYN2R33-1836328615-6288</_dlc_DocId>
    <_dlc_DocIdUrl xmlns="ebc0cde9-a283-43a6-952b-8d8efbacdac1">
      <Url>https://americasmining.sharepoint.com/sites/AEPS/_layouts/15/DocIdRedir.aspx?ID=WWT6XQYN2R33-1836328615-6288</Url>
      <Description>WWT6XQYN2R33-1836328615-6288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80AC279CAE9F4584FFD0F03D7535FA" ma:contentTypeVersion="12" ma:contentTypeDescription="Crear nuevo documento." ma:contentTypeScope="" ma:versionID="d61a44182b38a1814bfcfecf57963e2c">
  <xsd:schema xmlns:xsd="http://www.w3.org/2001/XMLSchema" xmlns:xs="http://www.w3.org/2001/XMLSchema" xmlns:p="http://schemas.microsoft.com/office/2006/metadata/properties" xmlns:ns2="ebc0cde9-a283-43a6-952b-8d8efbacdac1" xmlns:ns3="f690eb7d-6c16-466b-b5b6-aacc5206a53e" targetNamespace="http://schemas.microsoft.com/office/2006/metadata/properties" ma:root="true" ma:fieldsID="08ca81491e59dc429215c9dba18f2697" ns2:_="" ns3:_="">
    <xsd:import namespace="ebc0cde9-a283-43a6-952b-8d8efbacdac1"/>
    <xsd:import namespace="f690eb7d-6c16-466b-b5b6-aacc5206a53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BillingMetadata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0cde9-a283-43a6-952b-8d8efbacdac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dexed="true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a124154c-506a-4f9f-bc8f-8bb239cc68b5}" ma:internalName="TaxCatchAll" ma:showField="CatchAllData" ma:web="ebc0cde9-a283-43a6-952b-8d8efbacda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90eb7d-6c16-466b-b5b6-aacc5206a5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e97586a-7f4d-4447-87ac-b85b40a96d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8B962DB-9A78-4A7A-92AF-95581526DA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EFB2A4-4B8C-4474-B667-194E7059F407}">
  <ds:schemaRefs>
    <ds:schemaRef ds:uri="http://purl.org/dc/terms/"/>
    <ds:schemaRef ds:uri="http://purl.org/dc/dcmitype/"/>
    <ds:schemaRef ds:uri="http://purl.org/dc/elements/1.1/"/>
    <ds:schemaRef ds:uri="http://www.w3.org/XML/1998/namespace"/>
    <ds:schemaRef ds:uri="f690eb7d-6c16-466b-b5b6-aacc5206a53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ebc0cde9-a283-43a6-952b-8d8efbacdac1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63875DE-5E2C-473B-97AA-49504E9D4A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c0cde9-a283-43a6-952b-8d8efbacdac1"/>
    <ds:schemaRef ds:uri="f690eb7d-6c16-466b-b5b6-aacc5206a5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D0BE798-7F74-499D-AF0F-FE17F4F0CCC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Site 1</vt:lpstr>
      <vt:lpstr>Site 2</vt:lpstr>
      <vt:lpstr>Site 3</vt:lpstr>
      <vt:lpstr>Site 4</vt:lpstr>
      <vt:lpstr>Site 5</vt:lpstr>
      <vt:lpstr>Site 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Bobadilla Franco</dc:creator>
  <cp:keywords/>
  <dc:description/>
  <cp:lastModifiedBy>Hugo Eduardo Castro Contreras</cp:lastModifiedBy>
  <cp:revision/>
  <dcterms:created xsi:type="dcterms:W3CDTF">2026-07-21T22:03:07Z</dcterms:created>
  <dcterms:modified xsi:type="dcterms:W3CDTF">2026-09-14T20:41:12Z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0x0101007180AC279CAE9F4584FFD0F03D7535FA</vt:lpwstr>
  </property>
  <property fmtid="{D5CDD505-2E9C-101B-9397-08002B2CF9AE}" pid="3" name="_dlc_DocIdItemGuid">
    <vt:lpwstr>1cc58868-83b9-481a-bcd0-e29d71eb7a70</vt:lpwstr>
  </property>
  <property fmtid="{D5CDD505-2E9C-101B-9397-08002B2CF9AE}" pid="4" name="MediaServiceImageTags">
    <vt:lpwstr/>
  </property>
</Properties>
</file>